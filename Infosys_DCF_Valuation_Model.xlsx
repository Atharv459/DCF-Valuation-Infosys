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ackbox\"/>
    </mc:Choice>
  </mc:AlternateContent>
  <xr:revisionPtr revIDLastSave="0" documentId="13_ncr:1_{8090F208-EE86-41FE-8920-AA6EE42552F4}" xr6:coauthVersionLast="47" xr6:coauthVersionMax="47" xr10:uidLastSave="{00000000-0000-0000-0000-000000000000}"/>
  <bookViews>
    <workbookView xWindow="-108" yWindow="-108" windowWidth="23256" windowHeight="12456" tabRatio="609" activeTab="4" xr2:uid="{D4886810-D9CC-4231-AA87-2302A306BB27}"/>
  </bookViews>
  <sheets>
    <sheet name="Financials&gt;" sheetId="1" r:id="rId1"/>
    <sheet name="Cash Flow Data" sheetId="5" r:id="rId2"/>
    <sheet name="Data Sheet" sheetId="2" r:id="rId3"/>
    <sheet name="ASSUMPTIONS" sheetId="4" r:id="rId4"/>
    <sheet name="DCF VALUATION" sheetId="6" r:id="rId5"/>
    <sheet name="SENSITIVITY ANALYSIS" sheetId="7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6" l="1"/>
  <c r="L35" i="1"/>
  <c r="K35" i="1"/>
  <c r="J35" i="1"/>
  <c r="I35" i="1"/>
  <c r="H35" i="1"/>
  <c r="G35" i="1"/>
  <c r="F35" i="1"/>
  <c r="E35" i="1"/>
  <c r="D35" i="1"/>
  <c r="C35" i="1"/>
  <c r="R4" i="6" l="1"/>
  <c r="C29" i="6"/>
  <c r="C27" i="6"/>
  <c r="C25" i="6"/>
  <c r="I10" i="6"/>
  <c r="G6" i="6"/>
  <c r="F6" i="6"/>
  <c r="D4" i="6"/>
  <c r="R20" i="6"/>
  <c r="R5" i="6"/>
  <c r="R6" i="6"/>
  <c r="R7" i="6"/>
  <c r="E4" i="6" s="1"/>
  <c r="R8" i="6"/>
  <c r="F4" i="6" s="1"/>
  <c r="R9" i="6"/>
  <c r="G4" i="6" s="1"/>
  <c r="R10" i="6"/>
  <c r="H4" i="6" s="1"/>
  <c r="R11" i="6"/>
  <c r="D6" i="6" s="1"/>
  <c r="R12" i="6"/>
  <c r="E6" i="6" s="1"/>
  <c r="R13" i="6"/>
  <c r="R14" i="6"/>
  <c r="R15" i="6"/>
  <c r="H6" i="6" s="1"/>
  <c r="R16" i="6"/>
  <c r="R17" i="6"/>
  <c r="R19" i="6"/>
  <c r="R3" i="6"/>
  <c r="H16" i="6" s="1"/>
  <c r="C97" i="1"/>
  <c r="D97" i="1"/>
  <c r="E97" i="1"/>
  <c r="F97" i="1"/>
  <c r="G97" i="1"/>
  <c r="H97" i="1"/>
  <c r="I97" i="1"/>
  <c r="J97" i="1"/>
  <c r="K97" i="1"/>
  <c r="L97" i="1"/>
  <c r="C98" i="1"/>
  <c r="D98" i="1"/>
  <c r="E98" i="1"/>
  <c r="F98" i="1"/>
  <c r="G98" i="1"/>
  <c r="H98" i="1"/>
  <c r="I98" i="1"/>
  <c r="J98" i="1"/>
  <c r="K98" i="1"/>
  <c r="L98" i="1"/>
  <c r="C99" i="1"/>
  <c r="D99" i="1"/>
  <c r="E99" i="1"/>
  <c r="F99" i="1"/>
  <c r="G99" i="1"/>
  <c r="H99" i="1"/>
  <c r="I99" i="1"/>
  <c r="J99" i="1"/>
  <c r="K99" i="1"/>
  <c r="L99" i="1"/>
  <c r="C100" i="1"/>
  <c r="D100" i="1"/>
  <c r="E100" i="1"/>
  <c r="F100" i="1"/>
  <c r="G100" i="1"/>
  <c r="H100" i="1"/>
  <c r="I100" i="1"/>
  <c r="J100" i="1"/>
  <c r="K100" i="1"/>
  <c r="L100" i="1"/>
  <c r="C101" i="1"/>
  <c r="D101" i="1"/>
  <c r="E101" i="1"/>
  <c r="F101" i="1"/>
  <c r="G101" i="1"/>
  <c r="H101" i="1"/>
  <c r="I101" i="1"/>
  <c r="J101" i="1"/>
  <c r="K101" i="1"/>
  <c r="L101" i="1"/>
  <c r="C102" i="1"/>
  <c r="D102" i="1"/>
  <c r="E102" i="1"/>
  <c r="F102" i="1"/>
  <c r="G102" i="1"/>
  <c r="H102" i="1"/>
  <c r="I102" i="1"/>
  <c r="J102" i="1"/>
  <c r="K102" i="1"/>
  <c r="L102" i="1"/>
  <c r="C103" i="1"/>
  <c r="D103" i="1"/>
  <c r="E103" i="1"/>
  <c r="F103" i="1"/>
  <c r="G103" i="1"/>
  <c r="H103" i="1"/>
  <c r="I103" i="1"/>
  <c r="J103" i="1"/>
  <c r="K103" i="1"/>
  <c r="L103" i="1"/>
  <c r="C104" i="1"/>
  <c r="D104" i="1"/>
  <c r="E104" i="1"/>
  <c r="F104" i="1"/>
  <c r="G104" i="1"/>
  <c r="H104" i="1"/>
  <c r="I104" i="1"/>
  <c r="J104" i="1"/>
  <c r="K104" i="1"/>
  <c r="L104" i="1"/>
  <c r="D96" i="1"/>
  <c r="E96" i="1"/>
  <c r="F96" i="1"/>
  <c r="G96" i="1"/>
  <c r="H96" i="1"/>
  <c r="I96" i="1"/>
  <c r="J96" i="1"/>
  <c r="K96" i="1"/>
  <c r="L96" i="1"/>
  <c r="C96" i="1"/>
  <c r="C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C91" i="1"/>
  <c r="D91" i="1"/>
  <c r="E91" i="1"/>
  <c r="F91" i="1"/>
  <c r="G91" i="1"/>
  <c r="H91" i="1"/>
  <c r="I91" i="1"/>
  <c r="J91" i="1"/>
  <c r="K91" i="1"/>
  <c r="L91" i="1"/>
  <c r="C92" i="1"/>
  <c r="D92" i="1"/>
  <c r="E92" i="1"/>
  <c r="F92" i="1"/>
  <c r="G92" i="1"/>
  <c r="H92" i="1"/>
  <c r="I92" i="1"/>
  <c r="J92" i="1"/>
  <c r="K92" i="1"/>
  <c r="L92" i="1"/>
  <c r="D81" i="1"/>
  <c r="E81" i="1"/>
  <c r="F81" i="1"/>
  <c r="G81" i="1"/>
  <c r="H81" i="1"/>
  <c r="I81" i="1"/>
  <c r="J81" i="1"/>
  <c r="K81" i="1"/>
  <c r="L81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D70" i="1"/>
  <c r="E70" i="1"/>
  <c r="F70" i="1"/>
  <c r="G70" i="1"/>
  <c r="H70" i="1"/>
  <c r="I70" i="1"/>
  <c r="J70" i="1"/>
  <c r="K70" i="1"/>
  <c r="L70" i="1"/>
  <c r="C70" i="1"/>
  <c r="D56" i="1"/>
  <c r="E56" i="1"/>
  <c r="F56" i="1"/>
  <c r="G56" i="1"/>
  <c r="H56" i="1"/>
  <c r="I56" i="1"/>
  <c r="J56" i="1"/>
  <c r="K56" i="1"/>
  <c r="L56" i="1"/>
  <c r="C56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D59" i="1"/>
  <c r="E59" i="1"/>
  <c r="F59" i="1"/>
  <c r="G59" i="1"/>
  <c r="H59" i="1"/>
  <c r="I59" i="1"/>
  <c r="J59" i="1"/>
  <c r="K59" i="1"/>
  <c r="L59" i="1"/>
  <c r="C59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D53" i="1"/>
  <c r="E53" i="1"/>
  <c r="F53" i="1"/>
  <c r="G53" i="1"/>
  <c r="H53" i="1"/>
  <c r="I53" i="1"/>
  <c r="J53" i="1"/>
  <c r="K53" i="1"/>
  <c r="L53" i="1"/>
  <c r="C53" i="1"/>
  <c r="C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D47" i="1"/>
  <c r="E47" i="1"/>
  <c r="F47" i="1"/>
  <c r="G47" i="1"/>
  <c r="H47" i="1"/>
  <c r="I47" i="1"/>
  <c r="J47" i="1"/>
  <c r="K47" i="1"/>
  <c r="L47" i="1"/>
  <c r="M43" i="1"/>
  <c r="M41" i="1"/>
  <c r="D40" i="1"/>
  <c r="E40" i="1"/>
  <c r="F40" i="1"/>
  <c r="G40" i="1"/>
  <c r="H40" i="1"/>
  <c r="I40" i="1"/>
  <c r="J40" i="1"/>
  <c r="K40" i="1"/>
  <c r="L40" i="1"/>
  <c r="C40" i="1"/>
  <c r="M35" i="1"/>
  <c r="Q24" i="1"/>
  <c r="M29" i="1"/>
  <c r="D29" i="1"/>
  <c r="E29" i="1"/>
  <c r="F29" i="1"/>
  <c r="G29" i="1"/>
  <c r="H29" i="1"/>
  <c r="I29" i="1"/>
  <c r="J29" i="1"/>
  <c r="K29" i="1"/>
  <c r="L29" i="1"/>
  <c r="C29" i="1"/>
  <c r="M23" i="1"/>
  <c r="D23" i="1"/>
  <c r="E23" i="1"/>
  <c r="F23" i="1"/>
  <c r="G23" i="1"/>
  <c r="H23" i="1"/>
  <c r="I23" i="1"/>
  <c r="J23" i="1"/>
  <c r="K23" i="1"/>
  <c r="L23" i="1"/>
  <c r="C7" i="6" s="1"/>
  <c r="C23" i="1"/>
  <c r="M20" i="1"/>
  <c r="E20" i="1"/>
  <c r="F20" i="1"/>
  <c r="G20" i="1"/>
  <c r="H20" i="1"/>
  <c r="I20" i="1"/>
  <c r="J20" i="1"/>
  <c r="K20" i="1"/>
  <c r="L20" i="1"/>
  <c r="D20" i="1"/>
  <c r="C20" i="1"/>
  <c r="D14" i="1"/>
  <c r="E14" i="1"/>
  <c r="F14" i="1"/>
  <c r="G14" i="1"/>
  <c r="H14" i="1"/>
  <c r="I14" i="1"/>
  <c r="J14" i="1"/>
  <c r="K14" i="1"/>
  <c r="L14" i="1"/>
  <c r="C14" i="1"/>
  <c r="M8" i="1"/>
  <c r="D8" i="1"/>
  <c r="E8" i="1"/>
  <c r="F8" i="1"/>
  <c r="G8" i="1"/>
  <c r="H8" i="1"/>
  <c r="I8" i="1"/>
  <c r="J8" i="1"/>
  <c r="K8" i="1"/>
  <c r="L8" i="1"/>
  <c r="C8" i="1"/>
  <c r="M5" i="1"/>
  <c r="C5" i="1"/>
  <c r="D5" i="1"/>
  <c r="E5" i="1"/>
  <c r="F5" i="1"/>
  <c r="G5" i="1"/>
  <c r="H5" i="1"/>
  <c r="I5" i="1"/>
  <c r="J5" i="1"/>
  <c r="K5" i="1"/>
  <c r="K24" i="1" s="1"/>
  <c r="L5" i="1"/>
  <c r="C3" i="6" s="1"/>
  <c r="C3" i="1"/>
  <c r="D3" i="1"/>
  <c r="E3" i="1"/>
  <c r="F3" i="1"/>
  <c r="G3" i="1"/>
  <c r="H3" i="1"/>
  <c r="I3" i="1"/>
  <c r="J3" i="1"/>
  <c r="K3" i="1"/>
  <c r="L3" i="1"/>
  <c r="B2" i="1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B15" i="2" s="1"/>
  <c r="K32" i="2"/>
  <c r="J32" i="2"/>
  <c r="I32" i="2"/>
  <c r="H32" i="2"/>
  <c r="G32" i="2"/>
  <c r="F32" i="2"/>
  <c r="E32" i="2"/>
  <c r="D32" i="2"/>
  <c r="C32" i="2"/>
  <c r="B32" i="2"/>
  <c r="K15" i="2"/>
  <c r="B6" i="2"/>
  <c r="E1" i="2"/>
  <c r="H57" i="1" l="1"/>
  <c r="F62" i="1"/>
  <c r="G62" i="1"/>
  <c r="F78" i="1"/>
  <c r="E93" i="1"/>
  <c r="C93" i="1"/>
  <c r="G57" i="1"/>
  <c r="E62" i="1"/>
  <c r="L62" i="1"/>
  <c r="D62" i="1"/>
  <c r="C12" i="6"/>
  <c r="C11" i="6"/>
  <c r="L78" i="1"/>
  <c r="D78" i="1"/>
  <c r="L93" i="1"/>
  <c r="D93" i="1"/>
  <c r="H62" i="1"/>
  <c r="H64" i="1" s="1"/>
  <c r="H66" i="1" s="1"/>
  <c r="E78" i="1"/>
  <c r="E105" i="1"/>
  <c r="D105" i="1"/>
  <c r="F57" i="1"/>
  <c r="F64" i="1" s="1"/>
  <c r="F66" i="1" s="1"/>
  <c r="J15" i="1"/>
  <c r="D21" i="1"/>
  <c r="C57" i="1"/>
  <c r="C64" i="1" s="1"/>
  <c r="C66" i="1" s="1"/>
  <c r="E57" i="1"/>
  <c r="K62" i="1"/>
  <c r="K78" i="1"/>
  <c r="J93" i="1"/>
  <c r="K105" i="1"/>
  <c r="D3" i="6"/>
  <c r="D12" i="6" s="1"/>
  <c r="C62" i="1"/>
  <c r="C78" i="1"/>
  <c r="F21" i="1"/>
  <c r="L57" i="1"/>
  <c r="D57" i="1"/>
  <c r="J78" i="1"/>
  <c r="J57" i="1"/>
  <c r="F107" i="1"/>
  <c r="C10" i="6"/>
  <c r="G64" i="1"/>
  <c r="G66" i="1" s="1"/>
  <c r="C105" i="1"/>
  <c r="L105" i="1"/>
  <c r="J11" i="1"/>
  <c r="J17" i="1" s="1"/>
  <c r="K57" i="1"/>
  <c r="I62" i="1"/>
  <c r="J62" i="1"/>
  <c r="I78" i="1"/>
  <c r="H93" i="1"/>
  <c r="I105" i="1"/>
  <c r="J105" i="1"/>
  <c r="F105" i="1"/>
  <c r="H78" i="1"/>
  <c r="H105" i="1"/>
  <c r="G105" i="1"/>
  <c r="D7" i="6"/>
  <c r="D10" i="6" s="1"/>
  <c r="I57" i="1"/>
  <c r="I64" i="1" s="1"/>
  <c r="I66" i="1" s="1"/>
  <c r="G78" i="1"/>
  <c r="F93" i="1"/>
  <c r="G93" i="1"/>
  <c r="I93" i="1"/>
  <c r="K93" i="1"/>
  <c r="E16" i="6"/>
  <c r="C16" i="6"/>
  <c r="D16" i="6"/>
  <c r="F16" i="6"/>
  <c r="G16" i="6"/>
  <c r="L11" i="1"/>
  <c r="L17" i="1" s="1"/>
  <c r="C5" i="6" s="1"/>
  <c r="C8" i="6" s="1"/>
  <c r="C9" i="6" s="1"/>
  <c r="H9" i="1"/>
  <c r="M17" i="1"/>
  <c r="M26" i="1" s="1"/>
  <c r="F24" i="1"/>
  <c r="G11" i="1"/>
  <c r="G17" i="1" s="1"/>
  <c r="L24" i="1"/>
  <c r="E21" i="1"/>
  <c r="I11" i="1"/>
  <c r="I12" i="1" s="1"/>
  <c r="L6" i="1"/>
  <c r="C4" i="6" s="1"/>
  <c r="L15" i="1"/>
  <c r="D15" i="1"/>
  <c r="I21" i="1"/>
  <c r="C24" i="1"/>
  <c r="K6" i="1"/>
  <c r="K15" i="1"/>
  <c r="D24" i="1"/>
  <c r="J6" i="1"/>
  <c r="F6" i="1"/>
  <c r="C21" i="1"/>
  <c r="J24" i="1"/>
  <c r="L21" i="1"/>
  <c r="C15" i="1"/>
  <c r="G24" i="1"/>
  <c r="H21" i="1"/>
  <c r="G21" i="1"/>
  <c r="C9" i="1"/>
  <c r="E9" i="1"/>
  <c r="D6" i="1"/>
  <c r="L9" i="1"/>
  <c r="D9" i="1"/>
  <c r="H15" i="1"/>
  <c r="M24" i="1"/>
  <c r="J9" i="1"/>
  <c r="F15" i="1"/>
  <c r="K21" i="1"/>
  <c r="I24" i="1"/>
  <c r="H11" i="1"/>
  <c r="H17" i="1" s="1"/>
  <c r="F9" i="1"/>
  <c r="K9" i="1"/>
  <c r="G15" i="1"/>
  <c r="M21" i="1"/>
  <c r="I15" i="1"/>
  <c r="M6" i="1"/>
  <c r="I9" i="1"/>
  <c r="J21" i="1"/>
  <c r="H24" i="1"/>
  <c r="I6" i="1"/>
  <c r="F11" i="1"/>
  <c r="H6" i="1"/>
  <c r="C11" i="1"/>
  <c r="E11" i="1"/>
  <c r="G9" i="1"/>
  <c r="G6" i="1"/>
  <c r="D11" i="1"/>
  <c r="E15" i="1"/>
  <c r="K11" i="1"/>
  <c r="M11" i="1"/>
  <c r="M12" i="1" s="1"/>
  <c r="E6" i="1"/>
  <c r="M9" i="1"/>
  <c r="E24" i="1"/>
  <c r="J12" i="1" l="1"/>
  <c r="C13" i="6"/>
  <c r="C17" i="6" s="1"/>
  <c r="D11" i="6"/>
  <c r="L64" i="1"/>
  <c r="L66" i="1" s="1"/>
  <c r="G12" i="1"/>
  <c r="E3" i="6"/>
  <c r="D5" i="6"/>
  <c r="D8" i="6" s="1"/>
  <c r="D9" i="6" s="1"/>
  <c r="D13" i="6" s="1"/>
  <c r="D17" i="6" s="1"/>
  <c r="D64" i="1"/>
  <c r="D66" i="1" s="1"/>
  <c r="E107" i="1"/>
  <c r="G107" i="1"/>
  <c r="E64" i="1"/>
  <c r="E66" i="1" s="1"/>
  <c r="C107" i="1"/>
  <c r="D107" i="1"/>
  <c r="M18" i="1"/>
  <c r="L12" i="1"/>
  <c r="K64" i="1"/>
  <c r="K66" i="1" s="1"/>
  <c r="L107" i="1"/>
  <c r="J107" i="1"/>
  <c r="I107" i="1"/>
  <c r="H107" i="1"/>
  <c r="J64" i="1"/>
  <c r="J66" i="1" s="1"/>
  <c r="K107" i="1"/>
  <c r="E5" i="6"/>
  <c r="F3" i="6"/>
  <c r="F12" i="6" s="1"/>
  <c r="M27" i="1"/>
  <c r="M32" i="1"/>
  <c r="M33" i="1" s="1"/>
  <c r="I17" i="1"/>
  <c r="I18" i="1" s="1"/>
  <c r="M30" i="1"/>
  <c r="H12" i="1"/>
  <c r="K17" i="1"/>
  <c r="K12" i="1"/>
  <c r="C12" i="1"/>
  <c r="C17" i="1"/>
  <c r="G18" i="1"/>
  <c r="G26" i="1"/>
  <c r="L26" i="1"/>
  <c r="L18" i="1"/>
  <c r="C6" i="6" s="1"/>
  <c r="H18" i="1"/>
  <c r="H26" i="1"/>
  <c r="F17" i="1"/>
  <c r="F12" i="1"/>
  <c r="J26" i="1"/>
  <c r="J18" i="1"/>
  <c r="D12" i="1"/>
  <c r="D17" i="1"/>
  <c r="E12" i="1"/>
  <c r="E17" i="1"/>
  <c r="E12" i="6" l="1"/>
  <c r="E7" i="6"/>
  <c r="E10" i="6" s="1"/>
  <c r="E11" i="6"/>
  <c r="G3" i="6"/>
  <c r="G12" i="6" s="1"/>
  <c r="F5" i="6"/>
  <c r="F11" i="6"/>
  <c r="F7" i="6"/>
  <c r="F10" i="6" s="1"/>
  <c r="I26" i="1"/>
  <c r="I27" i="1" s="1"/>
  <c r="J27" i="1"/>
  <c r="J32" i="1"/>
  <c r="J30" i="1"/>
  <c r="C26" i="1"/>
  <c r="C18" i="1"/>
  <c r="L32" i="1"/>
  <c r="L27" i="1"/>
  <c r="L30" i="1"/>
  <c r="G27" i="1"/>
  <c r="G32" i="1"/>
  <c r="G30" i="1"/>
  <c r="E18" i="1"/>
  <c r="E26" i="1"/>
  <c r="F26" i="1"/>
  <c r="F18" i="1"/>
  <c r="D26" i="1"/>
  <c r="D18" i="1"/>
  <c r="H30" i="1"/>
  <c r="H27" i="1"/>
  <c r="H32" i="1"/>
  <c r="K26" i="1"/>
  <c r="K18" i="1"/>
  <c r="I32" i="1" l="1"/>
  <c r="E8" i="6"/>
  <c r="E9" i="6" s="1"/>
  <c r="E13" i="6" s="1"/>
  <c r="E17" i="6" s="1"/>
  <c r="I30" i="1"/>
  <c r="F8" i="6"/>
  <c r="F9" i="6" s="1"/>
  <c r="F13" i="6" s="1"/>
  <c r="F17" i="6" s="1"/>
  <c r="G5" i="6"/>
  <c r="H3" i="6"/>
  <c r="H12" i="6" s="1"/>
  <c r="G11" i="6"/>
  <c r="G7" i="6"/>
  <c r="G10" i="6" s="1"/>
  <c r="L37" i="1"/>
  <c r="L33" i="1"/>
  <c r="F32" i="1"/>
  <c r="F30" i="1"/>
  <c r="F27" i="1"/>
  <c r="K32" i="1"/>
  <c r="K27" i="1"/>
  <c r="K30" i="1"/>
  <c r="H33" i="1"/>
  <c r="H37" i="1"/>
  <c r="C32" i="1"/>
  <c r="C30" i="1"/>
  <c r="C27" i="1"/>
  <c r="E32" i="1"/>
  <c r="E27" i="1"/>
  <c r="E30" i="1"/>
  <c r="I33" i="1"/>
  <c r="I37" i="1"/>
  <c r="G33" i="1"/>
  <c r="G37" i="1"/>
  <c r="D27" i="1"/>
  <c r="D32" i="1"/>
  <c r="D30" i="1"/>
  <c r="J33" i="1"/>
  <c r="J37" i="1"/>
  <c r="G8" i="6" l="1"/>
  <c r="G9" i="6" s="1"/>
  <c r="G13" i="6" s="1"/>
  <c r="G17" i="6" s="1"/>
  <c r="H5" i="6"/>
  <c r="H11" i="6"/>
  <c r="H7" i="6"/>
  <c r="H10" i="6" s="1"/>
  <c r="E37" i="1"/>
  <c r="E33" i="1"/>
  <c r="D37" i="1"/>
  <c r="D33" i="1"/>
  <c r="C33" i="1"/>
  <c r="C37" i="1"/>
  <c r="I38" i="1"/>
  <c r="I41" i="1"/>
  <c r="I43" i="1" s="1"/>
  <c r="H38" i="1"/>
  <c r="H41" i="1"/>
  <c r="H43" i="1" s="1"/>
  <c r="K37" i="1"/>
  <c r="L38" i="1" s="1"/>
  <c r="K33" i="1"/>
  <c r="G41" i="1"/>
  <c r="G43" i="1" s="1"/>
  <c r="F33" i="1"/>
  <c r="F37" i="1"/>
  <c r="G38" i="1" s="1"/>
  <c r="J38" i="1"/>
  <c r="J41" i="1"/>
  <c r="J43" i="1" s="1"/>
  <c r="L41" i="1"/>
  <c r="L43" i="1" s="1"/>
  <c r="H8" i="6" l="1"/>
  <c r="H9" i="6" s="1"/>
  <c r="H13" i="6" s="1"/>
  <c r="C19" i="6" s="1"/>
  <c r="E38" i="1"/>
  <c r="E41" i="1"/>
  <c r="E43" i="1" s="1"/>
  <c r="K38" i="1"/>
  <c r="K41" i="1"/>
  <c r="K43" i="1" s="1"/>
  <c r="C41" i="1"/>
  <c r="C43" i="1" s="1"/>
  <c r="F38" i="1"/>
  <c r="F41" i="1"/>
  <c r="F43" i="1" s="1"/>
  <c r="D38" i="1"/>
  <c r="D41" i="1"/>
  <c r="D43" i="1" s="1"/>
  <c r="C20" i="6" l="1"/>
  <c r="C21" i="6" s="1"/>
  <c r="H17" i="6"/>
  <c r="C18" i="6" s="1"/>
  <c r="C24" i="6" l="1"/>
  <c r="C26" i="6" s="1"/>
  <c r="C28" i="6" s="1"/>
  <c r="C30" i="6" s="1"/>
  <c r="C31" i="6" l="1"/>
</calcChain>
</file>

<file path=xl/sharedStrings.xml><?xml version="1.0" encoding="utf-8"?>
<sst xmlns="http://schemas.openxmlformats.org/spreadsheetml/2006/main" count="285" uniqueCount="195">
  <si>
    <t>COMPANY NAME</t>
  </si>
  <si>
    <t>INFOSYS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</si>
  <si>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</si>
  <si>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</si>
  <si>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</si>
  <si>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</si>
  <si>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</si>
  <si>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</si>
  <si>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</si>
  <si>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</si>
  <si>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</si>
  <si>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</si>
  <si>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</si>
  <si>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</si>
  <si>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</si>
  <si>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</si>
  <si>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</si>
  <si>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</si>
  <si>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</si>
  <si>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</si>
  <si>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</si>
  <si>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</si>
  <si>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</si>
  <si>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</si>
  <si>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</si>
  <si>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</si>
  <si>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</si>
  <si>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</si>
  <si>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</si>
  <si>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</si>
  <si>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</si>
  <si>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</si>
  <si>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</si>
  <si>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</si>
  <si>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</si>
  <si>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</si>
  <si>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</si>
  <si>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</si>
  <si>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</si>
  <si>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</si>
  <si>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</si>
  <si>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</si>
  <si>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</si>
  <si>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</si>
  <si>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</si>
  <si>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</si>
  <si>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</si>
  <si>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</si>
  <si>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</si>
  <si>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</si>
  <si>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</si>
  <si>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</si>
  <si>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</si>
  <si>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</si>
  <si>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</si>
  <si>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</si>
  <si>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</si>
  <si>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</si>
  <si>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</si>
  <si>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</si>
  <si>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</si>
  <si>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</si>
  <si>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</si>
  <si>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</si>
  <si>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</si>
  <si>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</si>
  <si>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</si>
  <si>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</si>
  <si>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</si>
  <si>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</si>
  <si>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Earnings Before Tax</t>
  </si>
  <si>
    <t>EBT % Sales</t>
  </si>
  <si>
    <t>Net Profit</t>
  </si>
  <si>
    <t>Net Margins</t>
  </si>
  <si>
    <t>No of Equity Shares</t>
  </si>
  <si>
    <t>Dividend per Share</t>
  </si>
  <si>
    <t>EPS Growth %</t>
  </si>
  <si>
    <t>Dividend payout ratio</t>
  </si>
  <si>
    <t>Retained Earnings</t>
  </si>
  <si>
    <t>Balance Sheet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</si>
  <si>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</si>
  <si>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</si>
  <si>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</si>
  <si>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</si>
  <si>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</si>
  <si>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</si>
  <si>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</si>
  <si>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</si>
  <si>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</si>
  <si>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</si>
  <si>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</si>
  <si>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</si>
  <si>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</si>
  <si>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</si>
  <si>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</si>
  <si>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</si>
  <si>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</si>
  <si>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</si>
  <si>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</si>
  <si>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</si>
  <si>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</si>
  <si>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</si>
  <si>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</si>
  <si>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</si>
  <si>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</si>
  <si>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</si>
  <si>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</si>
  <si>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</si>
  <si>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</si>
  <si>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</si>
  <si>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</si>
  <si>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Investing Activities</t>
  </si>
  <si>
    <t>Cash from Investing Activities</t>
  </si>
  <si>
    <t>Financing Activities</t>
  </si>
  <si>
    <t>Cash from Financing Activities</t>
  </si>
  <si>
    <t>Gross Margin</t>
  </si>
  <si>
    <t>EPS</t>
  </si>
  <si>
    <t xml:space="preserve"> Total Liabilities</t>
  </si>
  <si>
    <t>Fixed Assests Net Block</t>
  </si>
  <si>
    <t>Total Non Current Assests</t>
  </si>
  <si>
    <t>Total Current Assests</t>
  </si>
  <si>
    <t>Total Assests</t>
  </si>
  <si>
    <t>Cashflow statement</t>
  </si>
  <si>
    <t xml:space="preserve">Cash from Operating Activity </t>
  </si>
  <si>
    <t>Operating Activites</t>
  </si>
  <si>
    <t>Infosys Ltd - Key Assumptions</t>
  </si>
  <si>
    <t>WACC (Discount Rate)</t>
  </si>
  <si>
    <t>Terminal Growth Rate</t>
  </si>
  <si>
    <t>Forecast Horizon (years)</t>
  </si>
  <si>
    <t>Revenue Growth – FY27</t>
  </si>
  <si>
    <t>Revenue Growth – FY28</t>
  </si>
  <si>
    <t>Revenue Growth – FY29</t>
  </si>
  <si>
    <t>Revenue Growth – FY30</t>
  </si>
  <si>
    <t>Revenue Growth – FY31</t>
  </si>
  <si>
    <t>EBITDA Margin – FY27</t>
  </si>
  <si>
    <t>EBITDA Margin – FY28</t>
  </si>
  <si>
    <t>EBITDA Margin – FY29</t>
  </si>
  <si>
    <t>EBITDA Margin – FY30</t>
  </si>
  <si>
    <t>EBITDA Margin – FY31</t>
  </si>
  <si>
    <t>Depreciation % of Revenue</t>
  </si>
  <si>
    <t>CapEx % of Revenue</t>
  </si>
  <si>
    <t>Net Debt (FY26, ₹ Cr)</t>
  </si>
  <si>
    <t>5 years</t>
  </si>
  <si>
    <t>DCF VALUATION - INFOSYS LTD (all values in Rs CR. except per share value)</t>
  </si>
  <si>
    <t>Line Item</t>
  </si>
  <si>
    <t>FY27E</t>
  </si>
  <si>
    <t>FY28E</t>
  </si>
  <si>
    <t>FY29E</t>
  </si>
  <si>
    <t>FY30E</t>
  </si>
  <si>
    <t>FY31E</t>
  </si>
  <si>
    <t>FY26A</t>
  </si>
  <si>
    <t>Revenue (₹ Cr)</t>
  </si>
  <si>
    <t>Revenue Growth %</t>
  </si>
  <si>
    <t>EBITDA (₹ Cr)</t>
  </si>
  <si>
    <t>EBITDA Margin %</t>
  </si>
  <si>
    <t>(-) Depreciation (₹ Cr)</t>
  </si>
  <si>
    <t>EBIT (₹ Cr)</t>
  </si>
  <si>
    <t>NOPAT = EBIT×(1-Tax)</t>
  </si>
  <si>
    <t>(+) Depreciation (₹ Cr)</t>
  </si>
  <si>
    <t>(-) CapEx (₹ Cr)</t>
  </si>
  <si>
    <t>(-) Chg in NWC (₹ Cr)</t>
  </si>
  <si>
    <t>Free Cash Flow to Firm (FCFF)</t>
  </si>
  <si>
    <t>Discount Factor  (1/(1+WACC)^t)</t>
  </si>
  <si>
    <t>PV of FCFF (₹ Cr)</t>
  </si>
  <si>
    <t>Sum of PV (FCFF) – 5 years</t>
  </si>
  <si>
    <t>Terminal FCFF  (FY32E, ₹ Cr)</t>
  </si>
  <si>
    <t>Terminal Value (Gordon Growth, ₹ Cr)</t>
  </si>
  <si>
    <t>PV of Terminal Value (₹ Cr)</t>
  </si>
  <si>
    <t>Discounting  and terminal value</t>
  </si>
  <si>
    <t>Enterprise value, Equity value and Fair Value</t>
  </si>
  <si>
    <t>Enterprise Value (₹ Cr)</t>
  </si>
  <si>
    <t xml:space="preserve">  (–) Net Debt  (₹ Cr)</t>
  </si>
  <si>
    <t>Equity Value (₹ Cr)</t>
  </si>
  <si>
    <t>Shares Outstanding (Crore)</t>
  </si>
  <si>
    <t>Current Market Price (₹)</t>
  </si>
  <si>
    <t>Upside / (Downside) vs CMP</t>
  </si>
  <si>
    <t>Terminal Value as % of EV</t>
  </si>
  <si>
    <t>FAIR VALUE PER SHARE (₹)</t>
  </si>
  <si>
    <t>Change in NWC % of Rev</t>
  </si>
  <si>
    <t xml:space="preserve">Change in NWC % of Rev </t>
  </si>
  <si>
    <t>SENSITIVITY ANALYSIS – FAIR VALUE PER SHARE (₹)</t>
  </si>
  <si>
    <t>WACC →  /  TGR ↓</t>
  </si>
  <si>
    <t>TGR = 3.0%</t>
  </si>
  <si>
    <t>TGR = 3.5%</t>
  </si>
  <si>
    <t>TGR = 4.0%</t>
  </si>
  <si>
    <t>TGR = 4.5%</t>
  </si>
  <si>
    <t>TGR = 5.0%</t>
  </si>
  <si>
    <t>TGR = 5.5%</t>
  </si>
  <si>
    <t>TGR = 6.0%</t>
  </si>
  <si>
    <t>Table : Fair Value vs WACC &amp; Terminal Growth Rate</t>
  </si>
  <si>
    <t>In crores</t>
  </si>
  <si>
    <t>Cash&gt;Debt, that's why negative value</t>
  </si>
  <si>
    <t>Average of past 5 years</t>
  </si>
  <si>
    <t>Nominal growth rate of GDP in India</t>
  </si>
  <si>
    <t>CAPM: Riskfree rate 6% , Market risk 12% with a beta of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</si>
</sst>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&quot;₹&quot;\ #,##0.0"/>
    <numFmt numFmtId="169" formatCode="#,##0.0;\(#,##0.0\)\,\-"/>
    <numFmt numFmtId="170" formatCode="#,##0.0"/>
    <numFmt numFmtId="171" formatCode="0.000"/>
  </numFmts>
  <fonts count="2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0" tint="-0.499984740745262"/>
      <name val="calibri"/>
      <family val="2"/>
    </font>
    <font>
      <i/>
      <sz val="11"/>
      <color theme="2" tint="-0.249977111117893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FF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i/>
      <sz val="14"/>
      <color theme="2" tint="-0.249977111117893"/>
      <name val="Calibri"/>
      <family val="2"/>
    </font>
    <font>
      <b/>
      <sz val="14"/>
      <color theme="1"/>
      <name val="calibri"/>
      <family val="2"/>
    </font>
    <font>
      <i/>
      <sz val="11"/>
      <color theme="1" tint="0.14999847407452621"/>
      <name val="Calibri"/>
      <family val="2"/>
    </font>
    <font>
      <i/>
      <sz val="9"/>
      <color theme="2" tint="-0.49998474074526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DCE6F1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3" fillId="4" borderId="0" xfId="0" applyFont="1" applyFill="1"/>
    <xf numFmtId="0" fontId="0" fillId="4" borderId="0" xfId="0" applyFill="1"/>
    <xf numFmtId="166" fontId="3" fillId="0" borderId="0" xfId="0" applyNumberFormat="1" applyFont="1"/>
    <xf numFmtId="3" fontId="0" fillId="0" borderId="0" xfId="0" applyNumberForma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168" fontId="0" fillId="0" borderId="0" xfId="0" applyNumberFormat="1"/>
    <xf numFmtId="0" fontId="14" fillId="0" borderId="0" xfId="0" applyFont="1"/>
    <xf numFmtId="0" fontId="14" fillId="0" borderId="0" xfId="0" applyFont="1" applyAlignment="1">
      <alignment horizontal="center"/>
    </xf>
    <xf numFmtId="10" fontId="14" fillId="0" borderId="0" xfId="1" applyNumberFormat="1" applyFont="1"/>
    <xf numFmtId="168" fontId="0" fillId="0" borderId="0" xfId="0" applyNumberFormat="1" applyAlignment="1">
      <alignment horizontal="center"/>
    </xf>
    <xf numFmtId="169" fontId="0" fillId="0" borderId="0" xfId="0" applyNumberFormat="1"/>
    <xf numFmtId="0" fontId="0" fillId="0" borderId="0" xfId="0" applyAlignment="1">
      <alignment horizontal="right"/>
    </xf>
    <xf numFmtId="0" fontId="3" fillId="6" borderId="0" xfId="0" applyFont="1" applyFill="1"/>
    <xf numFmtId="0" fontId="0" fillId="6" borderId="0" xfId="0" applyFill="1"/>
    <xf numFmtId="0" fontId="2" fillId="7" borderId="0" xfId="0" applyFont="1" applyFill="1"/>
    <xf numFmtId="167" fontId="3" fillId="0" borderId="0" xfId="0" applyNumberFormat="1" applyFont="1"/>
    <xf numFmtId="10" fontId="19" fillId="0" borderId="0" xfId="0" applyNumberFormat="1" applyFont="1"/>
    <xf numFmtId="10" fontId="0" fillId="0" borderId="0" xfId="0" applyNumberFormat="1"/>
    <xf numFmtId="10" fontId="19" fillId="0" borderId="0" xfId="0" applyNumberFormat="1" applyFont="1" applyAlignment="1">
      <alignment horizontal="right"/>
    </xf>
    <xf numFmtId="0" fontId="17" fillId="9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170" fontId="19" fillId="0" borderId="0" xfId="0" applyNumberFormat="1" applyFont="1"/>
    <xf numFmtId="43" fontId="0" fillId="0" borderId="0" xfId="0" applyNumberFormat="1"/>
    <xf numFmtId="0" fontId="22" fillId="10" borderId="0" xfId="0" applyFont="1" applyFill="1" applyAlignment="1">
      <alignment horizontal="left" vertical="center"/>
    </xf>
    <xf numFmtId="0" fontId="20" fillId="0" borderId="0" xfId="0" applyFont="1"/>
    <xf numFmtId="43" fontId="20" fillId="0" borderId="0" xfId="0" applyNumberFormat="1" applyFont="1"/>
    <xf numFmtId="171" fontId="20" fillId="0" borderId="0" xfId="0" applyNumberFormat="1" applyFont="1"/>
    <xf numFmtId="0" fontId="21" fillId="0" borderId="0" xfId="0" applyFont="1"/>
    <xf numFmtId="0" fontId="22" fillId="10" borderId="2" xfId="0" applyFont="1" applyFill="1" applyBorder="1" applyAlignment="1">
      <alignment horizontal="right" vertical="center"/>
    </xf>
    <xf numFmtId="0" fontId="20" fillId="0" borderId="1" xfId="0" applyFont="1" applyBorder="1"/>
    <xf numFmtId="43" fontId="20" fillId="0" borderId="1" xfId="8" applyFont="1" applyBorder="1"/>
    <xf numFmtId="43" fontId="20" fillId="0" borderId="1" xfId="0" applyNumberFormat="1" applyFont="1" applyBorder="1"/>
    <xf numFmtId="10" fontId="20" fillId="0" borderId="1" xfId="0" applyNumberFormat="1" applyFont="1" applyBorder="1"/>
    <xf numFmtId="0" fontId="20" fillId="11" borderId="1" xfId="0" applyFont="1" applyFill="1" applyBorder="1"/>
    <xf numFmtId="43" fontId="20" fillId="11" borderId="1" xfId="8" applyFont="1" applyFill="1" applyBorder="1"/>
    <xf numFmtId="0" fontId="21" fillId="7" borderId="0" xfId="0" applyFont="1" applyFill="1"/>
    <xf numFmtId="43" fontId="20" fillId="11" borderId="1" xfId="0" applyNumberFormat="1" applyFont="1" applyFill="1" applyBorder="1"/>
    <xf numFmtId="0" fontId="21" fillId="11" borderId="1" xfId="0" applyFont="1" applyFill="1" applyBorder="1"/>
    <xf numFmtId="43" fontId="21" fillId="11" borderId="1" xfId="8" applyFont="1" applyFill="1" applyBorder="1"/>
    <xf numFmtId="10" fontId="20" fillId="0" borderId="1" xfId="1" applyNumberFormat="1" applyFont="1" applyBorder="1"/>
    <xf numFmtId="0" fontId="23" fillId="9" borderId="3" xfId="0" applyFont="1" applyFill="1" applyBorder="1" applyAlignment="1">
      <alignment horizontal="left" vertical="center"/>
    </xf>
    <xf numFmtId="10" fontId="20" fillId="0" borderId="4" xfId="0" applyNumberFormat="1" applyFont="1" applyBorder="1" applyAlignment="1">
      <alignment horizontal="right"/>
    </xf>
    <xf numFmtId="0" fontId="24" fillId="9" borderId="3" xfId="0" applyFont="1" applyFill="1" applyBorder="1" applyAlignment="1">
      <alignment horizontal="left" vertical="center"/>
    </xf>
    <xf numFmtId="2" fontId="20" fillId="0" borderId="4" xfId="0" applyNumberFormat="1" applyFont="1" applyBorder="1" applyAlignment="1">
      <alignment horizontal="right"/>
    </xf>
    <xf numFmtId="171" fontId="25" fillId="0" borderId="0" xfId="0" applyNumberFormat="1" applyFont="1"/>
    <xf numFmtId="0" fontId="17" fillId="13" borderId="0" xfId="0" applyFont="1" applyFill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0" fontId="20" fillId="7" borderId="1" xfId="0" applyFont="1" applyFill="1" applyBorder="1"/>
    <xf numFmtId="10" fontId="26" fillId="0" borderId="1" xfId="0" applyNumberFormat="1" applyFont="1" applyBorder="1"/>
    <xf numFmtId="2" fontId="20" fillId="0" borderId="1" xfId="0" applyNumberFormat="1" applyFont="1" applyBorder="1"/>
    <xf numFmtId="2" fontId="20" fillId="14" borderId="1" xfId="0" applyNumberFormat="1" applyFont="1" applyFill="1" applyBorder="1"/>
    <xf numFmtId="0" fontId="0" fillId="7" borderId="0" xfId="0" applyFill="1"/>
    <xf numFmtId="0" fontId="27" fillId="7" borderId="0" xfId="0" applyFont="1" applyFill="1"/>
    <xf numFmtId="2" fontId="0" fillId="0" borderId="0" xfId="0" applyNumberFormat="1"/>
    <xf numFmtId="0" fontId="16" fillId="8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8" fillId="0" borderId="0" xfId="0" applyFont="1"/>
  </cellXfs>
  <cellStyles count="9">
    <cellStyle name="Accent6 2" xfId="4" xr:uid="{BBDB2BF0-232B-4C01-AC19-E13AE7790424}"/>
    <cellStyle name="Comma" xfId="8" builtinId="3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2"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2:Q147"/>
  <sheetViews>
    <sheetView showGridLines="0" topLeftCell="B1" workbookViewId="0">
      <pane ySplit="3" topLeftCell="A13" activePane="bottomLeft" state="frozen"/>
      <selection pane="bottomLeft" activeCell="B36" sqref="B36"/>
    </sheetView>
  </sheetViews>
  <sheetFormatPr defaultRowHeight="14.4" x14ac:dyDescent="0.3"/>
  <cols>
    <col min="1" max="1" width="2.33203125" customWidth="1"/>
    <col min="2" max="2" width="25.77734375" customWidth="1"/>
    <col min="3" max="14" width="15.77734375" customWidth="1"/>
  </cols>
  <sheetData>
    <row r="2" spans="1:14" x14ac:dyDescent="0.3">
      <c r="A2" s="32"/>
      <c r="B2" s="73" t="str">
        <f>" Historical Financial Statement-" &amp; 'Data Sheet'!B1</f>
        <v xml:space="preserve"> Historical Financial Statement-INFOSYS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x14ac:dyDescent="0.3">
      <c r="A3" s="32"/>
      <c r="B3" s="20" t="s">
        <v>56</v>
      </c>
      <c r="C3" s="21">
        <f>'Data Sheet'!B16</f>
        <v>42825</v>
      </c>
      <c r="D3" s="21">
        <f>'Data Sheet'!C16</f>
        <v>43190</v>
      </c>
      <c r="E3" s="21">
        <f>'Data Sheet'!D16</f>
        <v>43555</v>
      </c>
      <c r="F3" s="21">
        <f>'Data Sheet'!E16</f>
        <v>43921</v>
      </c>
      <c r="G3" s="21">
        <f>'Data Sheet'!F16</f>
        <v>44286</v>
      </c>
      <c r="H3" s="21">
        <f>'Data Sheet'!G16</f>
        <v>44651</v>
      </c>
      <c r="I3" s="21">
        <f>'Data Sheet'!H16</f>
        <v>45016</v>
      </c>
      <c r="J3" s="21">
        <f>'Data Sheet'!I16</f>
        <v>45382</v>
      </c>
      <c r="K3" s="21">
        <f>'Data Sheet'!J16</f>
        <v>45747</v>
      </c>
      <c r="L3" s="21">
        <f>'Data Sheet'!K16</f>
        <v>46112</v>
      </c>
      <c r="M3" s="22" t="s">
        <v>57</v>
      </c>
    </row>
    <row r="4" spans="1:14" x14ac:dyDescent="0.3">
      <c r="A4" t="s">
        <v>59</v>
      </c>
      <c r="B4" s="30" t="s">
        <v>58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4" x14ac:dyDescent="0.3">
      <c r="B5" t="s">
        <v>12</v>
      </c>
      <c r="C5" s="23">
        <f>IFERROR('Data Sheet'!B17,0)</f>
        <v>68484</v>
      </c>
      <c r="D5" s="23">
        <f>IFERROR('Data Sheet'!C17,0)</f>
        <v>70522</v>
      </c>
      <c r="E5" s="23">
        <f>IFERROR('Data Sheet'!D17,0)</f>
        <v>82675</v>
      </c>
      <c r="F5" s="23">
        <f>IFERROR('Data Sheet'!E17,0)</f>
        <v>90791</v>
      </c>
      <c r="G5" s="23">
        <f>IFERROR('Data Sheet'!F17,0)</f>
        <v>100472</v>
      </c>
      <c r="H5" s="23">
        <f>IFERROR('Data Sheet'!G17,0)</f>
        <v>121641</v>
      </c>
      <c r="I5" s="23">
        <f>IFERROR('Data Sheet'!H17,0)</f>
        <v>146767</v>
      </c>
      <c r="J5" s="23">
        <f>IFERROR('Data Sheet'!I17,0)</f>
        <v>153670</v>
      </c>
      <c r="K5" s="23">
        <f>IFERROR('Data Sheet'!J17,0)</f>
        <v>162990</v>
      </c>
      <c r="L5" s="23">
        <f>IFERROR('Data Sheet'!K17,0)</f>
        <v>178650</v>
      </c>
      <c r="M5" s="23">
        <f>IFERROR(SUM('Data Sheet'!H42:K42),0)</f>
        <v>178650</v>
      </c>
    </row>
    <row r="6" spans="1:14" x14ac:dyDescent="0.3">
      <c r="B6" s="24" t="s">
        <v>60</v>
      </c>
      <c r="C6" s="25" t="s">
        <v>61</v>
      </c>
      <c r="D6" s="26">
        <f>D5/C5-1</f>
        <v>2.9758775772443125E-2</v>
      </c>
      <c r="E6" s="26">
        <f t="shared" ref="E6:M6" si="0">E5/D5-1</f>
        <v>0.17232920223476356</v>
      </c>
      <c r="F6" s="26">
        <f t="shared" si="0"/>
        <v>9.8167523435137571E-2</v>
      </c>
      <c r="G6" s="26">
        <f t="shared" si="0"/>
        <v>0.10662951173574475</v>
      </c>
      <c r="H6" s="26">
        <f t="shared" si="0"/>
        <v>0.21069551715900947</v>
      </c>
      <c r="I6" s="26">
        <f t="shared" si="0"/>
        <v>0.20655864387829759</v>
      </c>
      <c r="J6" s="26">
        <f t="shared" si="0"/>
        <v>4.7033733741236095E-2</v>
      </c>
      <c r="K6" s="26">
        <f t="shared" si="0"/>
        <v>6.0649443612936782E-2</v>
      </c>
      <c r="L6" s="26">
        <f t="shared" si="0"/>
        <v>9.6079514080618544E-2</v>
      </c>
      <c r="M6" s="26">
        <f t="shared" si="0"/>
        <v>0</v>
      </c>
      <c r="N6" s="35"/>
    </row>
    <row r="8" spans="1:14" x14ac:dyDescent="0.3">
      <c r="B8" t="s">
        <v>62</v>
      </c>
      <c r="C8" s="23">
        <f>IFERROR(SUM('Data Sheet'!B18,'Data Sheet'!B20:B22)-1*'Data Sheet'!B19,)</f>
        <v>44609</v>
      </c>
      <c r="D8" s="23">
        <f>IFERROR(SUM('Data Sheet'!C18,'Data Sheet'!C20:C22)-1*'Data Sheet'!C19,)</f>
        <v>46395</v>
      </c>
      <c r="E8" s="23">
        <f>IFERROR(SUM('Data Sheet'!D18,'Data Sheet'!D20:D22)-1*'Data Sheet'!D19,)</f>
        <v>55446</v>
      </c>
      <c r="F8" s="23">
        <f>IFERROR(SUM('Data Sheet'!E18,'Data Sheet'!E20:E22)-1*'Data Sheet'!E19,)</f>
        <v>62210</v>
      </c>
      <c r="G8" s="23">
        <f>IFERROR(SUM('Data Sheet'!F18,'Data Sheet'!F20:F22)-1*'Data Sheet'!F19,)</f>
        <v>68490</v>
      </c>
      <c r="H8" s="23">
        <f>IFERROR(SUM('Data Sheet'!G18,'Data Sheet'!G20:G22)-1*'Data Sheet'!G19,)</f>
        <v>84819</v>
      </c>
      <c r="I8" s="23">
        <f>IFERROR(SUM('Data Sheet'!H18,'Data Sheet'!H20:H22)-1*'Data Sheet'!H19,)</f>
        <v>104880</v>
      </c>
      <c r="J8" s="23">
        <f>IFERROR(SUM('Data Sheet'!I18,'Data Sheet'!I20:I22)-1*'Data Sheet'!I19,)</f>
        <v>110030</v>
      </c>
      <c r="K8" s="23">
        <f>IFERROR(SUM('Data Sheet'!J18,'Data Sheet'!J20:J22)-1*'Data Sheet'!J19,)</f>
        <v>116585</v>
      </c>
      <c r="L8" s="23">
        <f>IFERROR(SUM('Data Sheet'!K18,'Data Sheet'!K20:K22)-1*'Data Sheet'!K19,)</f>
        <v>128257</v>
      </c>
      <c r="M8" s="27">
        <f>IFERROR(SUM('Data Sheet'!H43:K43),0)</f>
        <v>136371</v>
      </c>
    </row>
    <row r="9" spans="1:14" x14ac:dyDescent="0.3">
      <c r="B9" s="24" t="s">
        <v>63</v>
      </c>
      <c r="C9" s="26">
        <f>C8/C5</f>
        <v>0.65137842415746738</v>
      </c>
      <c r="D9" s="26">
        <f t="shared" ref="D9:M9" si="1">D8/D5</f>
        <v>0.65787981055557132</v>
      </c>
      <c r="E9" s="26">
        <f t="shared" si="1"/>
        <v>0.67065013607499246</v>
      </c>
      <c r="F9" s="26">
        <f t="shared" si="1"/>
        <v>0.68520007489729162</v>
      </c>
      <c r="G9" s="26">
        <f t="shared" si="1"/>
        <v>0.68168245879448996</v>
      </c>
      <c r="H9" s="26">
        <f t="shared" si="1"/>
        <v>0.69728956519594543</v>
      </c>
      <c r="I9" s="26">
        <f t="shared" si="1"/>
        <v>0.71460205632056251</v>
      </c>
      <c r="J9" s="26">
        <f t="shared" si="1"/>
        <v>0.71601483698835167</v>
      </c>
      <c r="K9" s="26">
        <f t="shared" si="1"/>
        <v>0.71528928155101545</v>
      </c>
      <c r="L9" s="26">
        <f t="shared" si="1"/>
        <v>0.71792331374195351</v>
      </c>
      <c r="M9" s="26">
        <f t="shared" si="1"/>
        <v>0.76334172963895885</v>
      </c>
    </row>
    <row r="11" spans="1:14" x14ac:dyDescent="0.3">
      <c r="B11" t="s">
        <v>64</v>
      </c>
      <c r="C11" s="23">
        <f>C5-C8</f>
        <v>23875</v>
      </c>
      <c r="D11" s="23">
        <f t="shared" ref="D11:M11" si="2">D5-D8</f>
        <v>24127</v>
      </c>
      <c r="E11" s="23">
        <f t="shared" si="2"/>
        <v>27229</v>
      </c>
      <c r="F11" s="23">
        <f t="shared" si="2"/>
        <v>28581</v>
      </c>
      <c r="G11" s="23">
        <f t="shared" si="2"/>
        <v>31982</v>
      </c>
      <c r="H11" s="23">
        <f t="shared" si="2"/>
        <v>36822</v>
      </c>
      <c r="I11" s="23">
        <f t="shared" si="2"/>
        <v>41887</v>
      </c>
      <c r="J11" s="23">
        <f t="shared" si="2"/>
        <v>43640</v>
      </c>
      <c r="K11" s="23">
        <f t="shared" si="2"/>
        <v>46405</v>
      </c>
      <c r="L11" s="23">
        <f t="shared" si="2"/>
        <v>50393</v>
      </c>
      <c r="M11" s="23">
        <f t="shared" si="2"/>
        <v>42279</v>
      </c>
    </row>
    <row r="12" spans="1:14" x14ac:dyDescent="0.3">
      <c r="B12" s="24" t="s">
        <v>115</v>
      </c>
      <c r="C12" s="26">
        <f>C11/C5</f>
        <v>0.34862157584253256</v>
      </c>
      <c r="D12" s="26">
        <f t="shared" ref="D12:M12" si="3">D11/D5</f>
        <v>0.34212018944442868</v>
      </c>
      <c r="E12" s="26">
        <f t="shared" si="3"/>
        <v>0.32934986392500754</v>
      </c>
      <c r="F12" s="26">
        <f t="shared" si="3"/>
        <v>0.31479992510270843</v>
      </c>
      <c r="G12" s="26">
        <f t="shared" si="3"/>
        <v>0.31831754120550998</v>
      </c>
      <c r="H12" s="26">
        <f t="shared" si="3"/>
        <v>0.30271043480405457</v>
      </c>
      <c r="I12" s="26">
        <f t="shared" si="3"/>
        <v>0.28539794367943749</v>
      </c>
      <c r="J12" s="26">
        <f t="shared" si="3"/>
        <v>0.28398516301164833</v>
      </c>
      <c r="K12" s="26">
        <f t="shared" si="3"/>
        <v>0.2847107184489846</v>
      </c>
      <c r="L12" s="26">
        <f t="shared" si="3"/>
        <v>0.28207668625804644</v>
      </c>
      <c r="M12" s="26">
        <f t="shared" si="3"/>
        <v>0.23665827036104115</v>
      </c>
    </row>
    <row r="14" spans="1:14" x14ac:dyDescent="0.3">
      <c r="B14" t="s">
        <v>65</v>
      </c>
      <c r="C14" s="23">
        <f>IFERROR(SUM('Data Sheet'!B23:B24),0)</f>
        <v>5271</v>
      </c>
      <c r="D14" s="23">
        <f>IFERROR(SUM('Data Sheet'!C23:C24),0)</f>
        <v>5305</v>
      </c>
      <c r="E14" s="23">
        <f>IFERROR(SUM('Data Sheet'!D23:D24),0)</f>
        <v>7059</v>
      </c>
      <c r="F14" s="23">
        <f>IFERROR(SUM('Data Sheet'!E23:E24),0)</f>
        <v>6314</v>
      </c>
      <c r="G14" s="23">
        <f>IFERROR(SUM('Data Sheet'!F23:F24),0)</f>
        <v>4093</v>
      </c>
      <c r="H14" s="23">
        <f>IFERROR(SUM('Data Sheet'!G23:G24),0)</f>
        <v>5331</v>
      </c>
      <c r="I14" s="23">
        <f>IFERROR(SUM('Data Sheet'!H23:H24),0)</f>
        <v>6757</v>
      </c>
      <c r="J14" s="23">
        <f>IFERROR(SUM('Data Sheet'!I23:I24),0)</f>
        <v>7215</v>
      </c>
      <c r="K14" s="23">
        <f>IFERROR(SUM('Data Sheet'!J23:J24),0)</f>
        <v>7169</v>
      </c>
      <c r="L14" s="23">
        <f>IFERROR(SUM('Data Sheet'!K23:K24),0)</f>
        <v>8113</v>
      </c>
    </row>
    <row r="15" spans="1:14" x14ac:dyDescent="0.3">
      <c r="B15" s="15" t="s">
        <v>66</v>
      </c>
      <c r="C15" s="26">
        <f>C14/C5</f>
        <v>7.6966882775538814E-2</v>
      </c>
      <c r="D15" s="26">
        <f t="shared" ref="D15:L15" si="4">D14/D5</f>
        <v>7.5224752559484978E-2</v>
      </c>
      <c r="E15" s="26">
        <f t="shared" si="4"/>
        <v>8.5382521923193233E-2</v>
      </c>
      <c r="F15" s="26">
        <f t="shared" si="4"/>
        <v>6.9544338095185648E-2</v>
      </c>
      <c r="G15" s="26">
        <f t="shared" si="4"/>
        <v>4.0737717971176049E-2</v>
      </c>
      <c r="H15" s="26">
        <f t="shared" si="4"/>
        <v>4.3825683774385282E-2</v>
      </c>
      <c r="I15" s="26">
        <f t="shared" si="4"/>
        <v>4.6038959711651804E-2</v>
      </c>
      <c r="J15" s="26">
        <f t="shared" si="4"/>
        <v>4.6951259191774584E-2</v>
      </c>
      <c r="K15" s="26">
        <f t="shared" si="4"/>
        <v>4.3984293514939564E-2</v>
      </c>
      <c r="L15" s="26">
        <f t="shared" si="4"/>
        <v>4.5412818359921635E-2</v>
      </c>
    </row>
    <row r="17" spans="2:17" x14ac:dyDescent="0.3">
      <c r="B17" t="s">
        <v>28</v>
      </c>
      <c r="C17" s="23">
        <f>C11-C14</f>
        <v>18604</v>
      </c>
      <c r="D17" s="23">
        <f t="shared" ref="D17:L17" si="5">D11-D14</f>
        <v>18822</v>
      </c>
      <c r="E17" s="23">
        <f t="shared" si="5"/>
        <v>20170</v>
      </c>
      <c r="F17" s="23">
        <f t="shared" si="5"/>
        <v>22267</v>
      </c>
      <c r="G17" s="23">
        <f t="shared" si="5"/>
        <v>27889</v>
      </c>
      <c r="H17" s="23">
        <f t="shared" si="5"/>
        <v>31491</v>
      </c>
      <c r="I17" s="23">
        <f t="shared" si="5"/>
        <v>35130</v>
      </c>
      <c r="J17" s="23">
        <f t="shared" si="5"/>
        <v>36425</v>
      </c>
      <c r="K17" s="23">
        <f t="shared" si="5"/>
        <v>39236</v>
      </c>
      <c r="L17" s="23">
        <f t="shared" si="5"/>
        <v>42280</v>
      </c>
      <c r="M17" s="23">
        <f>IFERROR(SUM('Data Sheet'!H51:K51),0)</f>
        <v>45278</v>
      </c>
    </row>
    <row r="18" spans="2:17" x14ac:dyDescent="0.3">
      <c r="B18" s="15" t="s">
        <v>67</v>
      </c>
      <c r="C18" s="26">
        <f>C17/C5</f>
        <v>0.27165469306699375</v>
      </c>
      <c r="D18" s="26">
        <f t="shared" ref="D18:M18" si="6">D17/D5</f>
        <v>0.26689543688494372</v>
      </c>
      <c r="E18" s="26">
        <f t="shared" si="6"/>
        <v>0.24396734200181433</v>
      </c>
      <c r="F18" s="26">
        <f t="shared" si="6"/>
        <v>0.24525558700752279</v>
      </c>
      <c r="G18" s="26">
        <f t="shared" si="6"/>
        <v>0.27757982323433394</v>
      </c>
      <c r="H18" s="26">
        <f t="shared" si="6"/>
        <v>0.25888475102966929</v>
      </c>
      <c r="I18" s="26">
        <f t="shared" si="6"/>
        <v>0.23935898396778568</v>
      </c>
      <c r="J18" s="26">
        <f t="shared" si="6"/>
        <v>0.23703390381987374</v>
      </c>
      <c r="K18" s="26">
        <f t="shared" si="6"/>
        <v>0.24072642493404503</v>
      </c>
      <c r="L18" s="26">
        <f t="shared" si="6"/>
        <v>0.23666386789812482</v>
      </c>
      <c r="M18" s="26">
        <f t="shared" si="6"/>
        <v>0.25344528407500699</v>
      </c>
    </row>
    <row r="20" spans="2:17" x14ac:dyDescent="0.3">
      <c r="B20" t="s">
        <v>22</v>
      </c>
      <c r="C20" s="23">
        <f>IFERROR('Data Sheet'!B27,0)</f>
        <v>0</v>
      </c>
      <c r="D20" s="23">
        <f>IFERROR('Data Sheet'!C27,0)</f>
        <v>0</v>
      </c>
      <c r="E20" s="23">
        <f>IFERROR('Data Sheet'!D27,0)</f>
        <v>0</v>
      </c>
      <c r="F20" s="23">
        <f>IFERROR('Data Sheet'!E27,0)</f>
        <v>170</v>
      </c>
      <c r="G20" s="23">
        <f>IFERROR('Data Sheet'!F27,0)</f>
        <v>195</v>
      </c>
      <c r="H20" s="23">
        <f>IFERROR('Data Sheet'!G27,0)</f>
        <v>200</v>
      </c>
      <c r="I20" s="23">
        <f>IFERROR('Data Sheet'!H27,0)</f>
        <v>284</v>
      </c>
      <c r="J20" s="23">
        <f>IFERROR('Data Sheet'!I27,0)</f>
        <v>470</v>
      </c>
      <c r="K20" s="23">
        <f>IFERROR('Data Sheet'!J27,0)</f>
        <v>416</v>
      </c>
      <c r="L20" s="23">
        <f>IFERROR('Data Sheet'!K27,0)</f>
        <v>416</v>
      </c>
      <c r="M20" s="23">
        <f>IFERROR(SUM('Data Sheet'!H46:K46),0)</f>
        <v>416</v>
      </c>
    </row>
    <row r="21" spans="2:17" x14ac:dyDescent="0.3">
      <c r="B21" s="15" t="s">
        <v>68</v>
      </c>
      <c r="C21" s="26">
        <f>C20/C5</f>
        <v>0</v>
      </c>
      <c r="D21" s="26">
        <f t="shared" ref="D21:M21" si="7">D20/D5</f>
        <v>0</v>
      </c>
      <c r="E21" s="26">
        <f t="shared" si="7"/>
        <v>0</v>
      </c>
      <c r="F21" s="26">
        <f t="shared" si="7"/>
        <v>1.8724322895441179E-3</v>
      </c>
      <c r="G21" s="26">
        <f t="shared" si="7"/>
        <v>1.9408392387928975E-3</v>
      </c>
      <c r="H21" s="26">
        <f t="shared" si="7"/>
        <v>1.6441824713706726E-3</v>
      </c>
      <c r="I21" s="26">
        <f t="shared" si="7"/>
        <v>1.9350398931639945E-3</v>
      </c>
      <c r="J21" s="26">
        <f t="shared" si="7"/>
        <v>3.0585019847725646E-3</v>
      </c>
      <c r="K21" s="26">
        <f t="shared" si="7"/>
        <v>2.5523038223203877E-3</v>
      </c>
      <c r="L21" s="26">
        <f t="shared" si="7"/>
        <v>2.3285754268122026E-3</v>
      </c>
      <c r="M21" s="26">
        <f t="shared" si="7"/>
        <v>2.3285754268122026E-3</v>
      </c>
    </row>
    <row r="23" spans="2:17" x14ac:dyDescent="0.3">
      <c r="B23" t="s">
        <v>21</v>
      </c>
      <c r="C23" s="23">
        <f>IFERROR('Data Sheet'!B26,0)</f>
        <v>1703</v>
      </c>
      <c r="D23" s="23">
        <f>IFERROR('Data Sheet'!C26,0)</f>
        <v>1863</v>
      </c>
      <c r="E23" s="23">
        <f>IFERROR('Data Sheet'!D26,0)</f>
        <v>2011</v>
      </c>
      <c r="F23" s="23">
        <f>IFERROR('Data Sheet'!E26,0)</f>
        <v>2893</v>
      </c>
      <c r="G23" s="23">
        <f>IFERROR('Data Sheet'!F26,0)</f>
        <v>3267</v>
      </c>
      <c r="H23" s="23">
        <f>IFERROR('Data Sheet'!G26,0)</f>
        <v>3476</v>
      </c>
      <c r="I23" s="23">
        <f>IFERROR('Data Sheet'!H26,0)</f>
        <v>4225</v>
      </c>
      <c r="J23" s="23">
        <f>IFERROR('Data Sheet'!I26,0)</f>
        <v>4678</v>
      </c>
      <c r="K23" s="23">
        <f>IFERROR('Data Sheet'!J26,0)</f>
        <v>4812</v>
      </c>
      <c r="L23" s="23">
        <f>IFERROR('Data Sheet'!K26,0)</f>
        <v>4902</v>
      </c>
      <c r="M23" s="23">
        <f>IFERROR(SUM('Data Sheet'!H45:K45),0)</f>
        <v>4901</v>
      </c>
    </row>
    <row r="24" spans="2:17" x14ac:dyDescent="0.3">
      <c r="B24" s="15" t="s">
        <v>69</v>
      </c>
      <c r="C24" s="26">
        <f>C23/C5</f>
        <v>2.4867122247532271E-2</v>
      </c>
      <c r="D24" s="26">
        <f t="shared" ref="D24:M24" si="8">D23/D5</f>
        <v>2.6417288222115084E-2</v>
      </c>
      <c r="E24" s="26">
        <f t="shared" si="8"/>
        <v>2.4324160870879952E-2</v>
      </c>
      <c r="F24" s="26">
        <f t="shared" si="8"/>
        <v>3.1864391845006661E-2</v>
      </c>
      <c r="G24" s="26">
        <f t="shared" si="8"/>
        <v>3.2516522016084085E-2</v>
      </c>
      <c r="H24" s="26">
        <f t="shared" si="8"/>
        <v>2.8575891352422292E-2</v>
      </c>
      <c r="I24" s="26">
        <f t="shared" si="8"/>
        <v>2.8787125171189708E-2</v>
      </c>
      <c r="J24" s="26">
        <f t="shared" si="8"/>
        <v>3.0441855925034164E-2</v>
      </c>
      <c r="K24" s="26">
        <f t="shared" si="8"/>
        <v>2.9523283637032948E-2</v>
      </c>
      <c r="L24" s="26">
        <f t="shared" si="8"/>
        <v>2.7439126784214944E-2</v>
      </c>
      <c r="M24" s="26">
        <f t="shared" si="8"/>
        <v>2.7433529247131262E-2</v>
      </c>
      <c r="N24" s="35"/>
      <c r="Q24" s="13">
        <f t="shared" ref="Q24" si="9">Q15-(Q18+Q21)</f>
        <v>0</v>
      </c>
    </row>
    <row r="26" spans="2:17" x14ac:dyDescent="0.3">
      <c r="B26" t="s">
        <v>70</v>
      </c>
      <c r="C26" s="23">
        <f>C17-(C20+C23)</f>
        <v>16901</v>
      </c>
      <c r="D26" s="23">
        <f t="shared" ref="D26:M26" si="10">D17-(D20+D23)</f>
        <v>16959</v>
      </c>
      <c r="E26" s="23">
        <f t="shared" si="10"/>
        <v>18159</v>
      </c>
      <c r="F26" s="23">
        <f t="shared" si="10"/>
        <v>19204</v>
      </c>
      <c r="G26" s="23">
        <f t="shared" si="10"/>
        <v>24427</v>
      </c>
      <c r="H26" s="23">
        <f t="shared" si="10"/>
        <v>27815</v>
      </c>
      <c r="I26" s="13">
        <f t="shared" si="10"/>
        <v>30621</v>
      </c>
      <c r="J26" s="13">
        <f t="shared" si="10"/>
        <v>31277</v>
      </c>
      <c r="K26" s="13">
        <f t="shared" si="10"/>
        <v>34008</v>
      </c>
      <c r="L26" s="13">
        <f t="shared" si="10"/>
        <v>36962</v>
      </c>
      <c r="M26" s="13">
        <f t="shared" si="10"/>
        <v>39961</v>
      </c>
    </row>
    <row r="27" spans="2:17" x14ac:dyDescent="0.3">
      <c r="B27" s="15" t="s">
        <v>71</v>
      </c>
      <c r="C27" s="26">
        <f>C26/C5</f>
        <v>0.24678757081946148</v>
      </c>
      <c r="D27" s="26">
        <f t="shared" ref="D27:E27" si="11">D26/D5</f>
        <v>0.24047814866282863</v>
      </c>
      <c r="E27" s="26">
        <f t="shared" si="11"/>
        <v>0.2196431811309344</v>
      </c>
      <c r="F27" s="26">
        <f t="shared" ref="F27" si="12">F26/F5</f>
        <v>0.211518762872972</v>
      </c>
      <c r="G27" s="26">
        <f t="shared" ref="G27" si="13">G26/G5</f>
        <v>0.24312246197945697</v>
      </c>
      <c r="H27" s="26">
        <f t="shared" ref="H27" si="14">H26/H5</f>
        <v>0.2286646772058763</v>
      </c>
      <c r="I27" s="26">
        <f t="shared" ref="I27" si="15">I26/I5</f>
        <v>0.20863681890343197</v>
      </c>
      <c r="J27" s="26">
        <f t="shared" ref="J27" si="16">J26/J5</f>
        <v>0.20353354591006703</v>
      </c>
      <c r="K27" s="26">
        <f t="shared" ref="K27" si="17">K26/K5</f>
        <v>0.20865083747469171</v>
      </c>
      <c r="L27" s="26">
        <f t="shared" ref="L27" si="18">L26/L5</f>
        <v>0.20689616568709768</v>
      </c>
      <c r="M27" s="26">
        <f t="shared" ref="M27" si="19">M26/M5</f>
        <v>0.22368317940106353</v>
      </c>
    </row>
    <row r="29" spans="2:17" x14ac:dyDescent="0.3">
      <c r="B29" t="s">
        <v>24</v>
      </c>
      <c r="C29" s="23">
        <f>IFERROR('Data Sheet'!B29,0)</f>
        <v>5598</v>
      </c>
      <c r="D29" s="23">
        <f>IFERROR('Data Sheet'!C29,0)</f>
        <v>4241</v>
      </c>
      <c r="E29" s="23">
        <f>IFERROR('Data Sheet'!D29,0)</f>
        <v>5631</v>
      </c>
      <c r="F29" s="23">
        <f>IFERROR('Data Sheet'!E29,0)</f>
        <v>5368</v>
      </c>
      <c r="G29" s="23">
        <f>IFERROR('Data Sheet'!F29,0)</f>
        <v>7205</v>
      </c>
      <c r="H29" s="23">
        <f>IFERROR('Data Sheet'!G29,0)</f>
        <v>7964</v>
      </c>
      <c r="I29" s="13">
        <f>IFERROR('Data Sheet'!H29,0)</f>
        <v>9214</v>
      </c>
      <c r="J29" s="23">
        <f>IFERROR('Data Sheet'!I29,0)</f>
        <v>9740</v>
      </c>
      <c r="K29" s="23">
        <f>IFERROR('Data Sheet'!J29,0)</f>
        <v>10858</v>
      </c>
      <c r="L29" s="23">
        <f>IFERROR('Data Sheet'!K29,0)</f>
        <v>10521</v>
      </c>
      <c r="M29" s="23">
        <f>IFERROR(SUM('Data Sheet'!H48:K48),0)</f>
        <v>10521</v>
      </c>
    </row>
    <row r="30" spans="2:17" s="26" customFormat="1" x14ac:dyDescent="0.3">
      <c r="B30" s="26" t="s">
        <v>27</v>
      </c>
      <c r="C30" s="26">
        <f>C29/C26</f>
        <v>0.33122300455594345</v>
      </c>
      <c r="D30" s="26">
        <f t="shared" ref="D30:M30" si="20">D29/D26</f>
        <v>0.25007370717613064</v>
      </c>
      <c r="E30" s="26">
        <f t="shared" si="20"/>
        <v>0.31009416818106722</v>
      </c>
      <c r="F30" s="26">
        <f t="shared" si="20"/>
        <v>0.27952509893772132</v>
      </c>
      <c r="G30" s="26">
        <f t="shared" si="20"/>
        <v>0.29496049453473616</v>
      </c>
      <c r="H30" s="26">
        <f t="shared" si="20"/>
        <v>0.28632033075678592</v>
      </c>
      <c r="I30" s="26">
        <f t="shared" si="20"/>
        <v>0.30090460794879331</v>
      </c>
      <c r="J30" s="26">
        <f t="shared" si="20"/>
        <v>0.31141094094702176</v>
      </c>
      <c r="K30" s="26">
        <f t="shared" si="20"/>
        <v>0.31927781698423902</v>
      </c>
      <c r="L30" s="26">
        <f t="shared" si="20"/>
        <v>0.28464368811211516</v>
      </c>
      <c r="M30" s="26">
        <f t="shared" si="20"/>
        <v>0.26328169965716575</v>
      </c>
    </row>
    <row r="32" spans="2:17" x14ac:dyDescent="0.3">
      <c r="B32" t="s">
        <v>72</v>
      </c>
      <c r="C32" s="13">
        <f>C26-C29</f>
        <v>11303</v>
      </c>
      <c r="D32" s="13">
        <f t="shared" ref="D32:M32" si="21">D26-D29</f>
        <v>12718</v>
      </c>
      <c r="E32" s="13">
        <f t="shared" si="21"/>
        <v>12528</v>
      </c>
      <c r="F32" s="13">
        <f t="shared" si="21"/>
        <v>13836</v>
      </c>
      <c r="G32" s="13">
        <f t="shared" si="21"/>
        <v>17222</v>
      </c>
      <c r="H32" s="13">
        <f t="shared" si="21"/>
        <v>19851</v>
      </c>
      <c r="I32" s="13">
        <f t="shared" si="21"/>
        <v>21407</v>
      </c>
      <c r="J32" s="13">
        <f t="shared" si="21"/>
        <v>21537</v>
      </c>
      <c r="K32" s="13">
        <f t="shared" si="21"/>
        <v>23150</v>
      </c>
      <c r="L32" s="13">
        <f t="shared" si="21"/>
        <v>26441</v>
      </c>
      <c r="M32" s="13">
        <f t="shared" si="21"/>
        <v>29440</v>
      </c>
    </row>
    <row r="33" spans="1:13" s="26" customFormat="1" x14ac:dyDescent="0.3">
      <c r="B33" s="26" t="s">
        <v>73</v>
      </c>
      <c r="C33" s="26">
        <f>C32/C5</f>
        <v>0.16504585012557677</v>
      </c>
      <c r="D33" s="26">
        <f t="shared" ref="D33:M33" si="22">D32/D5</f>
        <v>0.18034088653186239</v>
      </c>
      <c r="E33" s="26">
        <f t="shared" si="22"/>
        <v>0.1515331115814938</v>
      </c>
      <c r="F33" s="26">
        <f t="shared" si="22"/>
        <v>0.15239395975372008</v>
      </c>
      <c r="G33" s="26">
        <f t="shared" si="22"/>
        <v>0.17141094036149376</v>
      </c>
      <c r="H33" s="26">
        <f t="shared" si="22"/>
        <v>0.16319333119589613</v>
      </c>
      <c r="I33" s="26">
        <f t="shared" si="22"/>
        <v>0.14585703870761138</v>
      </c>
      <c r="J33" s="26">
        <f t="shared" si="22"/>
        <v>0.14015097286392919</v>
      </c>
      <c r="K33" s="26">
        <f t="shared" si="22"/>
        <v>0.14203325357383889</v>
      </c>
      <c r="L33" s="26">
        <f t="shared" si="22"/>
        <v>0.14800447802966696</v>
      </c>
      <c r="M33" s="26">
        <f t="shared" si="22"/>
        <v>0.16479149174363281</v>
      </c>
    </row>
    <row r="35" spans="1:13" x14ac:dyDescent="0.3">
      <c r="B35" t="s">
        <v>74</v>
      </c>
      <c r="C35" s="71">
        <f>IFERROR('Data Sheet'!B93,0)</f>
        <v>459.39</v>
      </c>
      <c r="D35" s="71">
        <f>IFERROR('Data Sheet'!C93,0)</f>
        <v>436.82</v>
      </c>
      <c r="E35" s="71">
        <f>IFERROR('Data Sheet'!D93,0)</f>
        <v>436.89</v>
      </c>
      <c r="F35" s="71">
        <f>IFERROR('Data Sheet'!E93,0)</f>
        <v>425.9</v>
      </c>
      <c r="G35" s="71">
        <f>IFERROR('Data Sheet'!F93,0)</f>
        <v>426.07</v>
      </c>
      <c r="H35" s="71">
        <f>IFERROR('Data Sheet'!G93,0)</f>
        <v>420.67</v>
      </c>
      <c r="I35" s="71">
        <f>IFERROR('Data Sheet'!H93,0)</f>
        <v>414.86</v>
      </c>
      <c r="J35" s="71">
        <f>IFERROR('Data Sheet'!I93,0)</f>
        <v>415.09</v>
      </c>
      <c r="K35" s="71">
        <f>IFERROR('Data Sheet'!J93,0)</f>
        <v>415.33</v>
      </c>
      <c r="L35" s="71">
        <f>IFERROR('Data Sheet'!K93,0)</f>
        <v>405.56</v>
      </c>
      <c r="M35" s="13">
        <f>IFERROR('Data Sheet'!L93,0)</f>
        <v>0</v>
      </c>
    </row>
    <row r="36" spans="1:13" x14ac:dyDescent="0.3">
      <c r="B36" s="26" t="s">
        <v>190</v>
      </c>
      <c r="F36" s="28"/>
    </row>
    <row r="37" spans="1:13" x14ac:dyDescent="0.3">
      <c r="B37" t="s">
        <v>116</v>
      </c>
      <c r="C37" s="13">
        <f t="shared" ref="C37:L37" si="23">C32/C35</f>
        <v>24.604366660136268</v>
      </c>
      <c r="D37" s="13">
        <f t="shared" si="23"/>
        <v>29.114967263403692</v>
      </c>
      <c r="E37" s="13">
        <f t="shared" si="23"/>
        <v>28.6754102863421</v>
      </c>
      <c r="F37" s="13">
        <f t="shared" si="23"/>
        <v>32.486499178210849</v>
      </c>
      <c r="G37" s="13">
        <f t="shared" si="23"/>
        <v>40.420588166263762</v>
      </c>
      <c r="H37" s="13">
        <f t="shared" si="23"/>
        <v>47.189008011030019</v>
      </c>
      <c r="I37" s="13">
        <f t="shared" si="23"/>
        <v>51.600539941184977</v>
      </c>
      <c r="J37" s="13">
        <f t="shared" si="23"/>
        <v>51.885133344575877</v>
      </c>
      <c r="K37" s="13">
        <f t="shared" si="23"/>
        <v>55.738810102809815</v>
      </c>
      <c r="L37" s="13">
        <f t="shared" si="23"/>
        <v>65.196271821678664</v>
      </c>
      <c r="M37" s="29" t="s">
        <v>61</v>
      </c>
    </row>
    <row r="38" spans="1:13" x14ac:dyDescent="0.3">
      <c r="B38" s="15" t="s">
        <v>76</v>
      </c>
      <c r="D38" s="14">
        <f>D37/C37-1</f>
        <v>0.1833252066827411</v>
      </c>
      <c r="E38" s="14">
        <f t="shared" ref="E38:L38" si="24">E37/D37-1</f>
        <v>-1.5097285636109792E-2</v>
      </c>
      <c r="F38" s="14">
        <f t="shared" si="24"/>
        <v>0.13290442416734827</v>
      </c>
      <c r="G38" s="14">
        <f t="shared" si="24"/>
        <v>0.24422726944288353</v>
      </c>
      <c r="H38" s="14">
        <f t="shared" si="24"/>
        <v>0.16744981089650213</v>
      </c>
      <c r="I38" s="14">
        <f t="shared" si="24"/>
        <v>9.3486430762091954E-2</v>
      </c>
      <c r="J38" s="14">
        <f t="shared" si="24"/>
        <v>5.5153183225462588E-3</v>
      </c>
      <c r="K38" s="14">
        <f t="shared" si="24"/>
        <v>7.4273236085588668E-2</v>
      </c>
      <c r="L38" s="14">
        <f t="shared" si="24"/>
        <v>0.1696746253001209</v>
      </c>
      <c r="M38" s="29" t="s">
        <v>61</v>
      </c>
    </row>
    <row r="39" spans="1:13" x14ac:dyDescent="0.3">
      <c r="M39" s="14"/>
    </row>
    <row r="40" spans="1:13" x14ac:dyDescent="0.3">
      <c r="B40" t="s">
        <v>75</v>
      </c>
      <c r="C40" s="13">
        <f>IFERROR('Data Sheet'!B31/'Data Sheet'!B93,0)</f>
        <v>12.824832930625396</v>
      </c>
      <c r="D40" s="13">
        <f>IFERROR('Data Sheet'!C31/'Data Sheet'!C93,0)</f>
        <v>21.669337484547412</v>
      </c>
      <c r="E40" s="13">
        <f>IFERROR('Data Sheet'!D31/'Data Sheet'!D93,0)</f>
        <v>21.109432580283368</v>
      </c>
      <c r="F40" s="13">
        <f>IFERROR('Data Sheet'!E31/'Data Sheet'!E93,0)</f>
        <v>17.438365813571263</v>
      </c>
      <c r="G40" s="13">
        <f>IFERROR('Data Sheet'!F31/'Data Sheet'!F93,0)</f>
        <v>26.919520266622857</v>
      </c>
      <c r="H40" s="13">
        <f>IFERROR('Data Sheet'!G31/'Data Sheet'!G93,0)</f>
        <v>30.921149594694178</v>
      </c>
      <c r="I40" s="13">
        <f>IFERROR('Data Sheet'!H31/'Data Sheet'!H93,0)</f>
        <v>33.913127320059779</v>
      </c>
      <c r="J40" s="13">
        <f>IFERROR('Data Sheet'!I31/'Data Sheet'!I93,0)</f>
        <v>45.901370787058234</v>
      </c>
      <c r="K40" s="13">
        <f>IFERROR('Data Sheet'!J31/'Data Sheet'!J93,0)</f>
        <v>42.924421544314157</v>
      </c>
      <c r="L40" s="13">
        <f>IFERROR('Data Sheet'!K31/'Data Sheet'!K93,0)</f>
        <v>47.910050300818625</v>
      </c>
      <c r="M40" s="29" t="s">
        <v>61</v>
      </c>
    </row>
    <row r="41" spans="1:13" s="26" customFormat="1" x14ac:dyDescent="0.3">
      <c r="B41" s="26" t="s">
        <v>77</v>
      </c>
      <c r="C41" s="26">
        <f>C40/C37</f>
        <v>0.52124214810227376</v>
      </c>
      <c r="D41" s="26">
        <f t="shared" ref="D41:L41" si="25">D40/D37</f>
        <v>0.74426796666142481</v>
      </c>
      <c r="E41" s="26">
        <f t="shared" si="25"/>
        <v>0.73615102171136659</v>
      </c>
      <c r="F41" s="26">
        <f t="shared" si="25"/>
        <v>0.53678808904307607</v>
      </c>
      <c r="G41" s="26">
        <f t="shared" si="25"/>
        <v>0.66598536755312976</v>
      </c>
      <c r="H41" s="26">
        <f t="shared" si="25"/>
        <v>0.6552616996624856</v>
      </c>
      <c r="I41" s="26">
        <f t="shared" si="25"/>
        <v>0.65722427243425052</v>
      </c>
      <c r="J41" s="26">
        <f t="shared" si="25"/>
        <v>0.8846728885174352</v>
      </c>
      <c r="K41" s="26">
        <f t="shared" si="25"/>
        <v>0.77009935205183577</v>
      </c>
      <c r="L41" s="26">
        <f t="shared" si="25"/>
        <v>0.73485874210506419</v>
      </c>
      <c r="M41" s="26">
        <f>-G44</f>
        <v>0</v>
      </c>
    </row>
    <row r="43" spans="1:13" x14ac:dyDescent="0.3">
      <c r="B43" t="s">
        <v>78</v>
      </c>
      <c r="C43" s="14">
        <f>IFERROR(IF(C37&gt;C40,1-C41,0),0)</f>
        <v>0.47875785189772624</v>
      </c>
      <c r="D43" s="14">
        <f t="shared" ref="D43:M43" si="26">IFERROR(IF(D37&gt;D40,1-D41,0),0)</f>
        <v>0.25573203333857519</v>
      </c>
      <c r="E43" s="14">
        <f t="shared" si="26"/>
        <v>0.26384897828863341</v>
      </c>
      <c r="F43" s="14">
        <f t="shared" si="26"/>
        <v>0.46321191095692393</v>
      </c>
      <c r="G43" s="14">
        <f t="shared" si="26"/>
        <v>0.33401463244687024</v>
      </c>
      <c r="H43" s="14">
        <f t="shared" si="26"/>
        <v>0.3447383003375144</v>
      </c>
      <c r="I43" s="14">
        <f t="shared" si="26"/>
        <v>0.34277572756574948</v>
      </c>
      <c r="J43" s="14">
        <f t="shared" si="26"/>
        <v>0.1153271114825648</v>
      </c>
      <c r="K43" s="14">
        <f t="shared" si="26"/>
        <v>0.22990064794816423</v>
      </c>
      <c r="L43" s="14">
        <f t="shared" si="26"/>
        <v>0.26514125789493581</v>
      </c>
      <c r="M43" s="14">
        <f t="shared" si="26"/>
        <v>0</v>
      </c>
    </row>
    <row r="46" spans="1:13" x14ac:dyDescent="0.3">
      <c r="A46" t="s">
        <v>59</v>
      </c>
      <c r="B46" s="16" t="s">
        <v>79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x14ac:dyDescent="0.3">
      <c r="B47" s="2" t="s">
        <v>33</v>
      </c>
      <c r="C47" s="13">
        <f>IFERROR('Data Sheet'!B57,0)</f>
        <v>1144</v>
      </c>
      <c r="D47" s="13">
        <f>IFERROR('Data Sheet'!C57,0)</f>
        <v>1088</v>
      </c>
      <c r="E47" s="13">
        <f>IFERROR('Data Sheet'!D57,0)</f>
        <v>2170</v>
      </c>
      <c r="F47" s="13">
        <f>IFERROR('Data Sheet'!E57,0)</f>
        <v>2122</v>
      </c>
      <c r="G47" s="13">
        <f>IFERROR('Data Sheet'!F57,0)</f>
        <v>2124</v>
      </c>
      <c r="H47" s="13">
        <f>IFERROR('Data Sheet'!G57,0)</f>
        <v>2098</v>
      </c>
      <c r="I47" s="13">
        <f>IFERROR('Data Sheet'!H57,0)</f>
        <v>2069</v>
      </c>
      <c r="J47" s="13">
        <f>IFERROR('Data Sheet'!I57,0)</f>
        <v>2071</v>
      </c>
      <c r="K47" s="13">
        <f>IFERROR('Data Sheet'!J57,0)</f>
        <v>2073</v>
      </c>
      <c r="L47" s="13">
        <f>IFERROR('Data Sheet'!K57,0)</f>
        <v>2024</v>
      </c>
    </row>
    <row r="48" spans="1:13" x14ac:dyDescent="0.3">
      <c r="B48" s="2" t="s">
        <v>34</v>
      </c>
      <c r="C48" s="13">
        <f>IFERROR('Data Sheet'!B58,0)</f>
        <v>67838</v>
      </c>
      <c r="D48" s="13">
        <f>IFERROR('Data Sheet'!C58,0)</f>
        <v>63835</v>
      </c>
      <c r="E48" s="13">
        <f>IFERROR('Data Sheet'!D58,0)</f>
        <v>62778</v>
      </c>
      <c r="F48" s="13">
        <f>IFERROR('Data Sheet'!E58,0)</f>
        <v>63328</v>
      </c>
      <c r="G48" s="13">
        <f>IFERROR('Data Sheet'!F58,0)</f>
        <v>74227</v>
      </c>
      <c r="H48" s="13">
        <f>IFERROR('Data Sheet'!G58,0)</f>
        <v>73252</v>
      </c>
      <c r="I48" s="13">
        <f>IFERROR('Data Sheet'!H58,0)</f>
        <v>73338</v>
      </c>
      <c r="J48" s="13">
        <f>IFERROR('Data Sheet'!I58,0)</f>
        <v>86045</v>
      </c>
      <c r="K48" s="13">
        <f>IFERROR('Data Sheet'!J58,0)</f>
        <v>93745</v>
      </c>
      <c r="L48" s="13">
        <f>IFERROR('Data Sheet'!K58,0)</f>
        <v>90828</v>
      </c>
    </row>
    <row r="49" spans="2:12" x14ac:dyDescent="0.3">
      <c r="B49" s="2" t="s">
        <v>35</v>
      </c>
      <c r="C49" s="13">
        <f>IFERROR('Data Sheet'!B59,0)</f>
        <v>0</v>
      </c>
      <c r="D49" s="13">
        <f>IFERROR('Data Sheet'!C59,0)</f>
        <v>0</v>
      </c>
      <c r="E49" s="13">
        <f>IFERROR('Data Sheet'!D59,0)</f>
        <v>0</v>
      </c>
      <c r="F49" s="13">
        <f>IFERROR('Data Sheet'!E59,0)</f>
        <v>4633</v>
      </c>
      <c r="G49" s="13">
        <f>IFERROR('Data Sheet'!F59,0)</f>
        <v>5325</v>
      </c>
      <c r="H49" s="13">
        <f>IFERROR('Data Sheet'!G59,0)</f>
        <v>5474</v>
      </c>
      <c r="I49" s="13">
        <f>IFERROR('Data Sheet'!H59,0)</f>
        <v>8299</v>
      </c>
      <c r="J49" s="13">
        <f>IFERROR('Data Sheet'!I59,0)</f>
        <v>8359</v>
      </c>
      <c r="K49" s="13">
        <f>IFERROR('Data Sheet'!J59,0)</f>
        <v>8227</v>
      </c>
      <c r="L49" s="13">
        <f>IFERROR('Data Sheet'!K59,0)</f>
        <v>9176</v>
      </c>
    </row>
    <row r="50" spans="2:12" x14ac:dyDescent="0.3">
      <c r="B50" s="2" t="s">
        <v>36</v>
      </c>
      <c r="C50" s="13">
        <f>IFERROR('Data Sheet'!B60,0)</f>
        <v>14166</v>
      </c>
      <c r="D50" s="13">
        <f>IFERROR('Data Sheet'!C60,0)</f>
        <v>14426</v>
      </c>
      <c r="E50" s="13">
        <f>IFERROR('Data Sheet'!D60,0)</f>
        <v>19118</v>
      </c>
      <c r="F50" s="13">
        <f>IFERROR('Data Sheet'!E60,0)</f>
        <v>21717</v>
      </c>
      <c r="G50" s="13">
        <f>IFERROR('Data Sheet'!F60,0)</f>
        <v>25835</v>
      </c>
      <c r="H50" s="13">
        <f>IFERROR('Data Sheet'!G60,0)</f>
        <v>35905</v>
      </c>
      <c r="I50" s="13">
        <f>IFERROR('Data Sheet'!H60,0)</f>
        <v>40890</v>
      </c>
      <c r="J50" s="13">
        <f>IFERROR('Data Sheet'!I60,0)</f>
        <v>40885</v>
      </c>
      <c r="K50" s="13">
        <f>IFERROR('Data Sheet'!J60,0)</f>
        <v>43750</v>
      </c>
      <c r="L50" s="13">
        <f>IFERROR('Data Sheet'!K60,0)</f>
        <v>52260</v>
      </c>
    </row>
    <row r="51" spans="2:12" x14ac:dyDescent="0.3">
      <c r="B51" s="1" t="s">
        <v>117</v>
      </c>
      <c r="C51" s="18">
        <f>IFERROR('Data Sheet'!B61,0)</f>
        <v>83148</v>
      </c>
      <c r="D51" s="18">
        <f>IFERROR('Data Sheet'!C61,0)</f>
        <v>79349</v>
      </c>
      <c r="E51" s="18">
        <f>IFERROR('Data Sheet'!D61,0)</f>
        <v>84066</v>
      </c>
      <c r="F51" s="18">
        <f>IFERROR('Data Sheet'!E61,0)</f>
        <v>91800</v>
      </c>
      <c r="G51" s="18">
        <f>IFERROR('Data Sheet'!F61,0)</f>
        <v>107511</v>
      </c>
      <c r="H51" s="18">
        <f>IFERROR('Data Sheet'!G61,0)</f>
        <v>116729</v>
      </c>
      <c r="I51" s="18">
        <f>IFERROR('Data Sheet'!H61,0)</f>
        <v>124596</v>
      </c>
      <c r="J51" s="18">
        <f>IFERROR('Data Sheet'!I61,0)</f>
        <v>137360</v>
      </c>
      <c r="K51" s="18">
        <f>IFERROR('Data Sheet'!J61,0)</f>
        <v>147795</v>
      </c>
      <c r="L51" s="18">
        <f>IFERROR('Data Sheet'!K61,0)</f>
        <v>154288</v>
      </c>
    </row>
    <row r="52" spans="2:12" x14ac:dyDescent="0.3">
      <c r="B52" s="1"/>
    </row>
    <row r="53" spans="2:12" x14ac:dyDescent="0.3">
      <c r="B53" s="2" t="s">
        <v>118</v>
      </c>
      <c r="C53" s="13">
        <f>IFERROR('Data Sheet'!B62,0)</f>
        <v>14179</v>
      </c>
      <c r="D53" s="13">
        <f>IFERROR('Data Sheet'!C62,0)</f>
        <v>12574</v>
      </c>
      <c r="E53" s="13">
        <f>IFERROR('Data Sheet'!D62,0)</f>
        <v>15710</v>
      </c>
      <c r="F53" s="13">
        <f>IFERROR('Data Sheet'!E62,0)</f>
        <v>23789</v>
      </c>
      <c r="G53" s="13">
        <f>IFERROR('Data Sheet'!F62,0)</f>
        <v>25505</v>
      </c>
      <c r="H53" s="13">
        <f>IFERROR('Data Sheet'!G62,0)</f>
        <v>25800</v>
      </c>
      <c r="I53" s="13">
        <f>IFERROR('Data Sheet'!H62,0)</f>
        <v>29225</v>
      </c>
      <c r="J53" s="13">
        <f>IFERROR('Data Sheet'!I62,0)</f>
        <v>27622</v>
      </c>
      <c r="K53" s="13">
        <f>IFERROR('Data Sheet'!J62,0)</f>
        <v>30961</v>
      </c>
      <c r="L53" s="13">
        <f>IFERROR('Data Sheet'!K62,0)</f>
        <v>33770</v>
      </c>
    </row>
    <row r="54" spans="2:12" x14ac:dyDescent="0.3">
      <c r="B54" s="2" t="s">
        <v>39</v>
      </c>
      <c r="C54" s="13">
        <f>IFERROR('Data Sheet'!B63,0)</f>
        <v>1365</v>
      </c>
      <c r="D54" s="13">
        <f>IFERROR('Data Sheet'!C63,0)</f>
        <v>1606</v>
      </c>
      <c r="E54" s="13">
        <f>IFERROR('Data Sheet'!D63,0)</f>
        <v>1388</v>
      </c>
      <c r="F54" s="13">
        <f>IFERROR('Data Sheet'!E63,0)</f>
        <v>954</v>
      </c>
      <c r="G54" s="13">
        <f>IFERROR('Data Sheet'!F63,0)</f>
        <v>922</v>
      </c>
      <c r="H54" s="13">
        <f>IFERROR('Data Sheet'!G63,0)</f>
        <v>416</v>
      </c>
      <c r="I54" s="13">
        <f>IFERROR('Data Sheet'!H63,0)</f>
        <v>288</v>
      </c>
      <c r="J54" s="13">
        <f>IFERROR('Data Sheet'!I63,0)</f>
        <v>293</v>
      </c>
      <c r="K54" s="13">
        <f>IFERROR('Data Sheet'!J63,0)</f>
        <v>814</v>
      </c>
      <c r="L54" s="13">
        <f>IFERROR('Data Sheet'!K63,0)</f>
        <v>526</v>
      </c>
    </row>
    <row r="55" spans="2:12" x14ac:dyDescent="0.3">
      <c r="B55" s="2" t="s">
        <v>40</v>
      </c>
      <c r="C55" s="13">
        <f>IFERROR('Data Sheet'!B64,0)</f>
        <v>16423</v>
      </c>
      <c r="D55" s="13">
        <f>IFERROR('Data Sheet'!C64,0)</f>
        <v>12163</v>
      </c>
      <c r="E55" s="13">
        <f>IFERROR('Data Sheet'!D64,0)</f>
        <v>11261</v>
      </c>
      <c r="F55" s="13">
        <f>IFERROR('Data Sheet'!E64,0)</f>
        <v>8792</v>
      </c>
      <c r="G55" s="13">
        <f>IFERROR('Data Sheet'!F64,0)</f>
        <v>14205</v>
      </c>
      <c r="H55" s="13">
        <f>IFERROR('Data Sheet'!G64,0)</f>
        <v>20324</v>
      </c>
      <c r="I55" s="13">
        <f>IFERROR('Data Sheet'!H64,0)</f>
        <v>19478</v>
      </c>
      <c r="J55" s="13">
        <f>IFERROR('Data Sheet'!I64,0)</f>
        <v>24623</v>
      </c>
      <c r="K55" s="13">
        <f>IFERROR('Data Sheet'!J64,0)</f>
        <v>23541</v>
      </c>
      <c r="L55" s="13">
        <f>IFERROR('Data Sheet'!K64,0)</f>
        <v>21880</v>
      </c>
    </row>
    <row r="56" spans="2:12" x14ac:dyDescent="0.3">
      <c r="B56" s="2" t="s">
        <v>41</v>
      </c>
      <c r="C56" s="13">
        <f>IFERROR('Data Sheet'!B65-SUM('Data Sheet'!B67:B69,0),0)</f>
        <v>16234</v>
      </c>
      <c r="D56" s="13">
        <f>IFERROR('Data Sheet'!C65-SUM('Data Sheet'!C67:C69,0),0)</f>
        <v>20046</v>
      </c>
      <c r="E56" s="13">
        <f>IFERROR('Data Sheet'!D65-SUM('Data Sheet'!D67:D69,0),0)</f>
        <v>21312</v>
      </c>
      <c r="F56" s="13">
        <f>IFERROR('Data Sheet'!E65-SUM('Data Sheet'!E67:E69,0),0)</f>
        <v>21129</v>
      </c>
      <c r="G56" s="13">
        <f>IFERROR('Data Sheet'!F65-SUM('Data Sheet'!F67:F69,0),0)</f>
        <v>22871</v>
      </c>
      <c r="H56" s="13">
        <f>IFERROR('Data Sheet'!G65-SUM('Data Sheet'!G67:G69,0),0)</f>
        <v>30019</v>
      </c>
      <c r="I56" s="13">
        <f>IFERROR('Data Sheet'!H65-SUM('Data Sheet'!H67:H69,0),0)</f>
        <v>38008</v>
      </c>
      <c r="J56" s="13">
        <f>IFERROR('Data Sheet'!I65-SUM('Data Sheet'!I67:I69,0),0)</f>
        <v>39843</v>
      </c>
      <c r="K56" s="13">
        <f>IFERROR('Data Sheet'!J65-SUM('Data Sheet'!J67:J69,0),0)</f>
        <v>36866</v>
      </c>
      <c r="L56" s="13">
        <f>IFERROR('Data Sheet'!K65-SUM('Data Sheet'!K67:K69,0),0)</f>
        <v>40677</v>
      </c>
    </row>
    <row r="57" spans="2:12" x14ac:dyDescent="0.3">
      <c r="B57" s="1" t="s">
        <v>119</v>
      </c>
      <c r="C57" s="18">
        <f>IFERROR(SUM(C53:C56),0)</f>
        <v>48201</v>
      </c>
      <c r="D57" s="18">
        <f t="shared" ref="D57:L57" si="27">IFERROR(SUM(D53:D56),0)</f>
        <v>46389</v>
      </c>
      <c r="E57" s="18">
        <f t="shared" si="27"/>
        <v>49671</v>
      </c>
      <c r="F57" s="18">
        <f t="shared" si="27"/>
        <v>54664</v>
      </c>
      <c r="G57" s="18">
        <f t="shared" si="27"/>
        <v>63503</v>
      </c>
      <c r="H57" s="18">
        <f t="shared" si="27"/>
        <v>76559</v>
      </c>
      <c r="I57" s="18">
        <f t="shared" si="27"/>
        <v>86999</v>
      </c>
      <c r="J57" s="18">
        <f t="shared" si="27"/>
        <v>92381</v>
      </c>
      <c r="K57" s="18">
        <f t="shared" si="27"/>
        <v>92182</v>
      </c>
      <c r="L57" s="18">
        <f t="shared" si="27"/>
        <v>96853</v>
      </c>
    </row>
    <row r="58" spans="2:12" x14ac:dyDescent="0.3">
      <c r="B58" s="1"/>
    </row>
    <row r="59" spans="2:12" x14ac:dyDescent="0.3">
      <c r="B59" s="2" t="s">
        <v>42</v>
      </c>
      <c r="C59" s="13">
        <f>IFERROR('Data Sheet'!B67,0)</f>
        <v>12322</v>
      </c>
      <c r="D59" s="13">
        <f>IFERROR('Data Sheet'!C67,0)</f>
        <v>13142</v>
      </c>
      <c r="E59" s="13">
        <f>IFERROR('Data Sheet'!D67,0)</f>
        <v>14827</v>
      </c>
      <c r="F59" s="13">
        <f>IFERROR('Data Sheet'!E67,0)</f>
        <v>18487</v>
      </c>
      <c r="G59" s="13">
        <f>IFERROR('Data Sheet'!F67,0)</f>
        <v>19294</v>
      </c>
      <c r="H59" s="13">
        <f>IFERROR('Data Sheet'!G67,0)</f>
        <v>22698</v>
      </c>
      <c r="I59" s="13">
        <f>IFERROR('Data Sheet'!H67,0)</f>
        <v>25424</v>
      </c>
      <c r="J59" s="13">
        <f>IFERROR('Data Sheet'!I67,0)</f>
        <v>30193</v>
      </c>
      <c r="K59" s="13">
        <f>IFERROR('Data Sheet'!J67,0)</f>
        <v>31158</v>
      </c>
      <c r="L59" s="13">
        <f>IFERROR('Data Sheet'!K67,0)</f>
        <v>35234</v>
      </c>
    </row>
    <row r="60" spans="2:12" x14ac:dyDescent="0.3">
      <c r="B60" s="2" t="s">
        <v>43</v>
      </c>
      <c r="C60" s="13">
        <f>IFERROR('Data Sheet'!B68,0)</f>
        <v>0</v>
      </c>
      <c r="D60" s="13">
        <f>IFERROR('Data Sheet'!C68,0)</f>
        <v>0</v>
      </c>
      <c r="E60" s="13">
        <f>IFERROR('Data Sheet'!D68,0)</f>
        <v>0</v>
      </c>
      <c r="F60" s="13">
        <f>IFERROR('Data Sheet'!E68,0)</f>
        <v>0</v>
      </c>
      <c r="G60" s="13">
        <f>IFERROR('Data Sheet'!F68,0)</f>
        <v>0</v>
      </c>
      <c r="H60" s="13">
        <f>IFERROR('Data Sheet'!G68,0)</f>
        <v>0</v>
      </c>
      <c r="I60" s="13">
        <f>IFERROR('Data Sheet'!H68,0)</f>
        <v>0</v>
      </c>
      <c r="J60" s="13">
        <f>IFERROR('Data Sheet'!I68,0)</f>
        <v>0</v>
      </c>
      <c r="K60" s="13">
        <f>IFERROR('Data Sheet'!J68,0)</f>
        <v>0</v>
      </c>
      <c r="L60" s="13">
        <f>IFERROR('Data Sheet'!K68,0)</f>
        <v>0</v>
      </c>
    </row>
    <row r="61" spans="2:12" x14ac:dyDescent="0.3">
      <c r="B61" s="2" t="s">
        <v>44</v>
      </c>
      <c r="C61" s="13">
        <f>IFERROR('Data Sheet'!B69,0)</f>
        <v>22625</v>
      </c>
      <c r="D61" s="13">
        <f>IFERROR('Data Sheet'!C69,0)</f>
        <v>19818</v>
      </c>
      <c r="E61" s="13">
        <f>IFERROR('Data Sheet'!D69,0)</f>
        <v>19568</v>
      </c>
      <c r="F61" s="13">
        <f>IFERROR('Data Sheet'!E69,0)</f>
        <v>18649</v>
      </c>
      <c r="G61" s="13">
        <f>IFERROR('Data Sheet'!F69,0)</f>
        <v>24714</v>
      </c>
      <c r="H61" s="13">
        <f>IFERROR('Data Sheet'!G69,0)</f>
        <v>17472</v>
      </c>
      <c r="I61" s="13">
        <f>IFERROR('Data Sheet'!H69,0)</f>
        <v>12173</v>
      </c>
      <c r="J61" s="13">
        <f>IFERROR('Data Sheet'!I69,0)</f>
        <v>14786</v>
      </c>
      <c r="K61" s="13">
        <f>IFERROR('Data Sheet'!J69,0)</f>
        <v>24455</v>
      </c>
      <c r="L61" s="13">
        <f>IFERROR('Data Sheet'!K69,0)</f>
        <v>22201</v>
      </c>
    </row>
    <row r="62" spans="2:12" x14ac:dyDescent="0.3">
      <c r="B62" s="1" t="s">
        <v>120</v>
      </c>
      <c r="C62" s="18">
        <f>IFERROR(SUM(C59:C61,0),0)</f>
        <v>34947</v>
      </c>
      <c r="D62" s="18">
        <f t="shared" ref="D62:L62" si="28">IFERROR(SUM(D59:D61,0),0)</f>
        <v>32960</v>
      </c>
      <c r="E62" s="18">
        <f t="shared" si="28"/>
        <v>34395</v>
      </c>
      <c r="F62" s="18">
        <f t="shared" si="28"/>
        <v>37136</v>
      </c>
      <c r="G62" s="18">
        <f t="shared" si="28"/>
        <v>44008</v>
      </c>
      <c r="H62" s="18">
        <f t="shared" si="28"/>
        <v>40170</v>
      </c>
      <c r="I62" s="18">
        <f t="shared" si="28"/>
        <v>37597</v>
      </c>
      <c r="J62" s="18">
        <f t="shared" si="28"/>
        <v>44979</v>
      </c>
      <c r="K62" s="18">
        <f t="shared" si="28"/>
        <v>55613</v>
      </c>
      <c r="L62" s="18">
        <f t="shared" si="28"/>
        <v>57435</v>
      </c>
    </row>
    <row r="63" spans="2:12" x14ac:dyDescent="0.3">
      <c r="B63" s="2"/>
    </row>
    <row r="64" spans="2:12" x14ac:dyDescent="0.3">
      <c r="B64" s="1" t="s">
        <v>121</v>
      </c>
      <c r="C64" s="33">
        <f>C57+C62</f>
        <v>83148</v>
      </c>
      <c r="D64" s="33">
        <f t="shared" ref="D64:L64" si="29">D57+D62</f>
        <v>79349</v>
      </c>
      <c r="E64" s="33">
        <f t="shared" si="29"/>
        <v>84066</v>
      </c>
      <c r="F64" s="33">
        <f t="shared" si="29"/>
        <v>91800</v>
      </c>
      <c r="G64" s="33">
        <f t="shared" si="29"/>
        <v>107511</v>
      </c>
      <c r="H64" s="33">
        <f t="shared" si="29"/>
        <v>116729</v>
      </c>
      <c r="I64" s="33">
        <f t="shared" si="29"/>
        <v>124596</v>
      </c>
      <c r="J64" s="33">
        <f t="shared" si="29"/>
        <v>137360</v>
      </c>
      <c r="K64" s="33">
        <f t="shared" si="29"/>
        <v>147795</v>
      </c>
      <c r="L64" s="33">
        <f t="shared" si="29"/>
        <v>154288</v>
      </c>
    </row>
    <row r="66" spans="1:13" x14ac:dyDescent="0.3">
      <c r="B66" s="12" t="s">
        <v>80</v>
      </c>
      <c r="C66" s="12" t="b">
        <f>C64=C51</f>
        <v>1</v>
      </c>
      <c r="D66" s="12" t="b">
        <f t="shared" ref="D66:L66" si="30">D64=D51</f>
        <v>1</v>
      </c>
      <c r="E66" s="12" t="b">
        <f t="shared" si="30"/>
        <v>1</v>
      </c>
      <c r="F66" s="12" t="b">
        <f t="shared" si="30"/>
        <v>1</v>
      </c>
      <c r="G66" s="12" t="b">
        <f t="shared" si="30"/>
        <v>1</v>
      </c>
      <c r="H66" s="12" t="b">
        <f t="shared" si="30"/>
        <v>1</v>
      </c>
      <c r="I66" s="12" t="b">
        <f t="shared" si="30"/>
        <v>1</v>
      </c>
      <c r="J66" s="12" t="b">
        <f t="shared" si="30"/>
        <v>1</v>
      </c>
      <c r="K66" s="12" t="b">
        <f t="shared" si="30"/>
        <v>1</v>
      </c>
      <c r="L66" s="12" t="b">
        <f t="shared" si="30"/>
        <v>1</v>
      </c>
    </row>
    <row r="68" spans="1:13" x14ac:dyDescent="0.3">
      <c r="A68" t="s">
        <v>59</v>
      </c>
      <c r="B68" s="16" t="s">
        <v>122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x14ac:dyDescent="0.3">
      <c r="B69" s="12" t="s">
        <v>124</v>
      </c>
    </row>
    <row r="70" spans="1:13" x14ac:dyDescent="0.3">
      <c r="B70" t="s">
        <v>81</v>
      </c>
      <c r="C70" s="13">
        <f>IFERROR('Cash Flow Data'!E4,0)</f>
        <v>24406</v>
      </c>
      <c r="D70" s="13">
        <f>IFERROR('Cash Flow Data'!F4,0)</f>
        <v>36303</v>
      </c>
      <c r="E70" s="13">
        <f>IFERROR('Cash Flow Data'!G4,0)</f>
        <v>43397</v>
      </c>
      <c r="F70" s="13">
        <f>IFERROR('Cash Flow Data'!H4,0)</f>
        <v>38626</v>
      </c>
      <c r="G70" s="13">
        <f>IFERROR('Cash Flow Data'!I4,0)</f>
        <v>28840</v>
      </c>
      <c r="H70" s="13">
        <f>IFERROR('Cash Flow Data'!J4,0)</f>
        <v>33312</v>
      </c>
      <c r="I70" s="13">
        <f>IFERROR('Cash Flow Data'!K4,0)</f>
        <v>28771</v>
      </c>
      <c r="J70" s="13">
        <f>IFERROR('Cash Flow Data'!L4,0)</f>
        <v>23352</v>
      </c>
      <c r="K70" s="13">
        <f>IFERROR('Cash Flow Data'!M4,0)</f>
        <v>31198</v>
      </c>
      <c r="L70" s="13">
        <f>IFERROR('Cash Flow Data'!N4,0)</f>
        <v>26666</v>
      </c>
    </row>
    <row r="71" spans="1:13" x14ac:dyDescent="0.3">
      <c r="B71" t="s">
        <v>42</v>
      </c>
      <c r="C71" s="13">
        <f>IFERROR('Cash Flow Data'!E5,0)</f>
        <v>-5177</v>
      </c>
      <c r="D71" s="13">
        <f>IFERROR('Cash Flow Data'!F5,0)</f>
        <v>445</v>
      </c>
      <c r="E71" s="13">
        <f>IFERROR('Cash Flow Data'!G5,0)</f>
        <v>-3179</v>
      </c>
      <c r="F71" s="13">
        <f>IFERROR('Cash Flow Data'!H5,0)</f>
        <v>-2223</v>
      </c>
      <c r="G71" s="13">
        <f>IFERROR('Cash Flow Data'!I5,0)</f>
        <v>-4152</v>
      </c>
      <c r="H71" s="13">
        <f>IFERROR('Cash Flow Data'!J5,0)</f>
        <v>-10688</v>
      </c>
      <c r="I71" s="13">
        <f>IFERROR('Cash Flow Data'!K5,0)</f>
        <v>-9109</v>
      </c>
      <c r="J71" s="13">
        <f>IFERROR('Cash Flow Data'!L5,0)</f>
        <v>9950</v>
      </c>
      <c r="K71" s="13">
        <f>IFERROR('Cash Flow Data'!M5,0)</f>
        <v>-5505</v>
      </c>
      <c r="L71" s="13">
        <f>IFERROR('Cash Flow Data'!N5,0)</f>
        <v>337</v>
      </c>
    </row>
    <row r="72" spans="1:13" x14ac:dyDescent="0.3">
      <c r="B72" t="s">
        <v>43</v>
      </c>
      <c r="C72" s="13">
        <f>IFERROR('Cash Flow Data'!E6,0)</f>
        <v>-2656</v>
      </c>
      <c r="D72" s="13">
        <f>IFERROR('Cash Flow Data'!F6,0)</f>
        <v>-2853</v>
      </c>
      <c r="E72" s="13">
        <f>IFERROR('Cash Flow Data'!G6,0)</f>
        <v>-3692</v>
      </c>
      <c r="F72" s="13">
        <f>IFERROR('Cash Flow Data'!H6,0)</f>
        <v>-5743</v>
      </c>
      <c r="G72" s="13">
        <f>IFERROR('Cash Flow Data'!I6,0)</f>
        <v>-6621</v>
      </c>
      <c r="H72" s="13">
        <f>IFERROR('Cash Flow Data'!J6,0)</f>
        <v>-3560</v>
      </c>
      <c r="I72" s="13">
        <f>IFERROR('Cash Flow Data'!K6,0)</f>
        <v>2069</v>
      </c>
      <c r="J72" s="13">
        <f>IFERROR('Cash Flow Data'!L6,0)</f>
        <v>2326</v>
      </c>
      <c r="K72" s="13">
        <f>IFERROR('Cash Flow Data'!M6,0)</f>
        <v>3814</v>
      </c>
      <c r="L72" s="13">
        <f>IFERROR('Cash Flow Data'!N6,0)</f>
        <v>597</v>
      </c>
    </row>
    <row r="73" spans="1:13" x14ac:dyDescent="0.3">
      <c r="B73" t="s">
        <v>82</v>
      </c>
      <c r="C73" s="13">
        <f>IFERROR('Cash Flow Data'!E7,0)</f>
        <v>8132</v>
      </c>
      <c r="D73" s="13">
        <f>IFERROR('Cash Flow Data'!F7,0)</f>
        <v>4694</v>
      </c>
      <c r="E73" s="13">
        <f>IFERROR('Cash Flow Data'!G7,0)</f>
        <v>3598</v>
      </c>
      <c r="F73" s="13">
        <f>IFERROR('Cash Flow Data'!H7,0)</f>
        <v>3947</v>
      </c>
      <c r="G73" s="13">
        <f>IFERROR('Cash Flow Data'!I7,0)</f>
        <v>9301</v>
      </c>
      <c r="H73" s="13">
        <f>IFERROR('Cash Flow Data'!J7,0)</f>
        <v>7320</v>
      </c>
      <c r="I73" s="13">
        <f>IFERROR('Cash Flow Data'!K7,0)</f>
        <v>-4692</v>
      </c>
      <c r="J73" s="13">
        <f>IFERROR('Cash Flow Data'!L7,0)</f>
        <v>-8085</v>
      </c>
      <c r="K73" s="13">
        <f>IFERROR('Cash Flow Data'!M7,0)</f>
        <v>5748</v>
      </c>
      <c r="L73" s="13">
        <f>IFERROR('Cash Flow Data'!N7,0)</f>
        <v>-7012</v>
      </c>
    </row>
    <row r="74" spans="1:13" x14ac:dyDescent="0.3">
      <c r="B74" t="s">
        <v>83</v>
      </c>
      <c r="C74" s="13">
        <f>IFERROR('Cash Flow Data'!E8,0)</f>
        <v>0</v>
      </c>
      <c r="D74" s="13">
        <f>IFERROR('Cash Flow Data'!F8,0)</f>
        <v>0</v>
      </c>
      <c r="E74" s="13">
        <f>IFERROR('Cash Flow Data'!G8,0)</f>
        <v>0</v>
      </c>
      <c r="F74" s="13">
        <f>IFERROR('Cash Flow Data'!H8,0)</f>
        <v>-520</v>
      </c>
      <c r="G74" s="13">
        <f>IFERROR('Cash Flow Data'!I8,0)</f>
        <v>0</v>
      </c>
      <c r="H74" s="13">
        <f>IFERROR('Cash Flow Data'!J8,0)</f>
        <v>0</v>
      </c>
      <c r="I74" s="13">
        <f>IFERROR('Cash Flow Data'!K8,0)</f>
        <v>0</v>
      </c>
      <c r="J74" s="13">
        <f>IFERROR('Cash Flow Data'!L8,0)</f>
        <v>0</v>
      </c>
      <c r="K74" s="13">
        <f>IFERROR('Cash Flow Data'!M8,0)</f>
        <v>0</v>
      </c>
      <c r="L74" s="13">
        <f>IFERROR('Cash Flow Data'!N8,0)</f>
        <v>0</v>
      </c>
    </row>
    <row r="75" spans="1:13" x14ac:dyDescent="0.3">
      <c r="B75" t="s">
        <v>84</v>
      </c>
      <c r="C75" s="13">
        <f>IFERROR('Cash Flow Data'!E9,0)</f>
        <v>-303</v>
      </c>
      <c r="D75" s="13">
        <f>IFERROR('Cash Flow Data'!F9,0)</f>
        <v>1870</v>
      </c>
      <c r="E75" s="13">
        <f>IFERROR('Cash Flow Data'!G9,0)</f>
        <v>-398</v>
      </c>
      <c r="F75" s="13">
        <f>IFERROR('Cash Flow Data'!H9,0)</f>
        <v>5852</v>
      </c>
      <c r="G75" s="13">
        <f>IFERROR('Cash Flow Data'!I9,0)</f>
        <v>4727</v>
      </c>
      <c r="H75" s="13">
        <f>IFERROR('Cash Flow Data'!J9,0)</f>
        <v>494</v>
      </c>
      <c r="I75" s="13">
        <f>IFERROR('Cash Flow Data'!K9,0)</f>
        <v>4512</v>
      </c>
      <c r="J75" s="13">
        <f>IFERROR('Cash Flow Data'!L9,0)</f>
        <v>875</v>
      </c>
      <c r="K75" s="13">
        <f>IFERROR('Cash Flow Data'!M9,0)</f>
        <v>-4150</v>
      </c>
      <c r="L75" s="13">
        <f>IFERROR('Cash Flow Data'!N9,0)</f>
        <v>-4396</v>
      </c>
    </row>
    <row r="76" spans="1:13" x14ac:dyDescent="0.3">
      <c r="B76" t="s">
        <v>85</v>
      </c>
      <c r="C76" s="13">
        <f>IFERROR('Cash Flow Data'!E10,0)</f>
        <v>-3</v>
      </c>
      <c r="D76" s="13">
        <f>IFERROR('Cash Flow Data'!F10,0)</f>
        <v>4157</v>
      </c>
      <c r="E76" s="13">
        <f>IFERROR('Cash Flow Data'!G10,0)</f>
        <v>-3672</v>
      </c>
      <c r="F76" s="13">
        <f>IFERROR('Cash Flow Data'!H10,0)</f>
        <v>1313</v>
      </c>
      <c r="G76" s="13">
        <f>IFERROR('Cash Flow Data'!I10,0)</f>
        <v>3254</v>
      </c>
      <c r="H76" s="13">
        <f>IFERROR('Cash Flow Data'!J10,0)</f>
        <v>-6434</v>
      </c>
      <c r="I76" s="13">
        <f>IFERROR('Cash Flow Data'!K10,0)</f>
        <v>-7221</v>
      </c>
      <c r="J76" s="13">
        <f>IFERROR('Cash Flow Data'!L10,0)</f>
        <v>5065</v>
      </c>
      <c r="K76" s="13">
        <f>IFERROR('Cash Flow Data'!M10,0)</f>
        <v>-93</v>
      </c>
      <c r="L76" s="13">
        <f>IFERROR('Cash Flow Data'!N10,0)</f>
        <v>-10474</v>
      </c>
    </row>
    <row r="77" spans="1:13" x14ac:dyDescent="0.3">
      <c r="B77" t="s">
        <v>86</v>
      </c>
      <c r="C77" s="13">
        <f>IFERROR('Cash Flow Data'!E11,0)</f>
        <v>-2240</v>
      </c>
      <c r="D77" s="13">
        <f>IFERROR('Cash Flow Data'!F11,0)</f>
        <v>-4308</v>
      </c>
      <c r="E77" s="13">
        <f>IFERROR('Cash Flow Data'!G11,0)</f>
        <v>-4194</v>
      </c>
      <c r="F77" s="13">
        <f>IFERROR('Cash Flow Data'!H11,0)</f>
        <v>-2040</v>
      </c>
      <c r="G77" s="13">
        <f>IFERROR('Cash Flow Data'!I11,0)</f>
        <v>-1895</v>
      </c>
      <c r="H77" s="13">
        <f>IFERROR('Cash Flow Data'!J11,0)</f>
        <v>-3021</v>
      </c>
      <c r="I77" s="13">
        <f>IFERROR('Cash Flow Data'!K11,0)</f>
        <v>-2659</v>
      </c>
      <c r="J77" s="13">
        <f>IFERROR('Cash Flow Data'!L11,0)</f>
        <v>-1785</v>
      </c>
      <c r="K77" s="13">
        <f>IFERROR('Cash Flow Data'!M11,0)</f>
        <v>-2105</v>
      </c>
      <c r="L77" s="13">
        <f>IFERROR('Cash Flow Data'!N11,0)</f>
        <v>-1910</v>
      </c>
    </row>
    <row r="78" spans="1:13" x14ac:dyDescent="0.3">
      <c r="B78" s="12" t="s">
        <v>123</v>
      </c>
      <c r="C78" s="18">
        <f>SUM(C70:C77)</f>
        <v>22159</v>
      </c>
      <c r="D78" s="18">
        <f t="shared" ref="D78:L78" si="31">SUM(D70:D77)</f>
        <v>40308</v>
      </c>
      <c r="E78" s="18">
        <f t="shared" si="31"/>
        <v>31860</v>
      </c>
      <c r="F78" s="18">
        <f t="shared" si="31"/>
        <v>39212</v>
      </c>
      <c r="G78" s="18">
        <f t="shared" si="31"/>
        <v>33454</v>
      </c>
      <c r="H78" s="18">
        <f t="shared" si="31"/>
        <v>17423</v>
      </c>
      <c r="I78" s="18">
        <f t="shared" si="31"/>
        <v>11671</v>
      </c>
      <c r="J78" s="18">
        <f t="shared" si="31"/>
        <v>31698</v>
      </c>
      <c r="K78" s="18">
        <f t="shared" si="31"/>
        <v>28907</v>
      </c>
      <c r="L78" s="18">
        <f t="shared" si="31"/>
        <v>3808</v>
      </c>
    </row>
    <row r="80" spans="1:13" x14ac:dyDescent="0.3">
      <c r="B80" s="12" t="s">
        <v>111</v>
      </c>
    </row>
    <row r="81" spans="2:12" x14ac:dyDescent="0.3">
      <c r="B81" t="s">
        <v>87</v>
      </c>
      <c r="C81" s="13">
        <f>IFERROR('Cash Flow Data'!E13,0)</f>
        <v>-18863</v>
      </c>
      <c r="D81" s="13">
        <f>IFERROR('Cash Flow Data'!F13,0)</f>
        <v>-26975</v>
      </c>
      <c r="E81" s="13">
        <f>IFERROR('Cash Flow Data'!G13,0)</f>
        <v>-31962</v>
      </c>
      <c r="F81" s="13">
        <f>IFERROR('Cash Flow Data'!H13,0)</f>
        <v>-31503</v>
      </c>
      <c r="G81" s="13">
        <f>IFERROR('Cash Flow Data'!I13,0)</f>
        <v>-16072</v>
      </c>
      <c r="H81" s="13">
        <f>IFERROR('Cash Flow Data'!J13,0)</f>
        <v>-35079</v>
      </c>
      <c r="I81" s="13">
        <f>IFERROR('Cash Flow Data'!K13,0)</f>
        <v>-35304</v>
      </c>
      <c r="J81" s="13">
        <f>IFERROR('Cash Flow Data'!L13,0)</f>
        <v>-29702</v>
      </c>
      <c r="K81" s="13">
        <f>IFERROR('Cash Flow Data'!M13,0)</f>
        <v>-20205</v>
      </c>
      <c r="L81" s="13">
        <f>IFERROR('Cash Flow Data'!N13,0)</f>
        <v>-15168</v>
      </c>
    </row>
    <row r="82" spans="2:12" x14ac:dyDescent="0.3">
      <c r="B82" t="s">
        <v>88</v>
      </c>
      <c r="C82" s="13">
        <f>IFERROR('Cash Flow Data'!E14,0)</f>
        <v>37</v>
      </c>
      <c r="D82" s="13">
        <f>IFERROR('Cash Flow Data'!F14,0)</f>
        <v>50</v>
      </c>
      <c r="E82" s="13">
        <f>IFERROR('Cash Flow Data'!G14,0)</f>
        <v>74</v>
      </c>
      <c r="F82" s="13">
        <f>IFERROR('Cash Flow Data'!H14,0)</f>
        <v>59</v>
      </c>
      <c r="G82" s="13">
        <f>IFERROR('Cash Flow Data'!I14,0)</f>
        <v>53</v>
      </c>
      <c r="H82" s="13">
        <f>IFERROR('Cash Flow Data'!J14,0)</f>
        <v>30</v>
      </c>
      <c r="I82" s="13">
        <f>IFERROR('Cash Flow Data'!K14,0)</f>
        <v>67</v>
      </c>
      <c r="J82" s="13">
        <f>IFERROR('Cash Flow Data'!L14,0)</f>
        <v>171</v>
      </c>
      <c r="K82" s="13">
        <f>IFERROR('Cash Flow Data'!M14,0)</f>
        <v>351</v>
      </c>
      <c r="L82" s="13">
        <f>IFERROR('Cash Flow Data'!N14,0)</f>
        <v>230</v>
      </c>
    </row>
    <row r="83" spans="2:12" x14ac:dyDescent="0.3">
      <c r="B83" t="s">
        <v>89</v>
      </c>
      <c r="C83" s="13">
        <f>IFERROR('Cash Flow Data'!E15,0)</f>
        <v>73</v>
      </c>
      <c r="D83" s="13">
        <f>IFERROR('Cash Flow Data'!F15,0)</f>
        <v>-429</v>
      </c>
      <c r="E83" s="13">
        <f>IFERROR('Cash Flow Data'!G15,0)</f>
        <v>-5461</v>
      </c>
      <c r="F83" s="13">
        <f>IFERROR('Cash Flow Data'!H15,0)</f>
        <v>-4728</v>
      </c>
      <c r="G83" s="13">
        <f>IFERROR('Cash Flow Data'!I15,0)</f>
        <v>-6</v>
      </c>
      <c r="H83" s="13">
        <f>IFERROR('Cash Flow Data'!J15,0)</f>
        <v>-329</v>
      </c>
      <c r="I83" s="13">
        <f>IFERROR('Cash Flow Data'!K15,0)</f>
        <v>-130</v>
      </c>
      <c r="J83" s="13">
        <f>IFERROR('Cash Flow Data'!L15,0)</f>
        <v>-1439</v>
      </c>
      <c r="K83" s="13">
        <f>IFERROR('Cash Flow Data'!M15,0)</f>
        <v>-7530</v>
      </c>
      <c r="L83" s="13">
        <f>IFERROR('Cash Flow Data'!N15,0)</f>
        <v>-3008</v>
      </c>
    </row>
    <row r="84" spans="2:12" x14ac:dyDescent="0.3">
      <c r="B84" t="s">
        <v>90</v>
      </c>
      <c r="C84" s="13">
        <f>IFERROR('Cash Flow Data'!E16,0)</f>
        <v>34</v>
      </c>
      <c r="D84" s="13">
        <f>IFERROR('Cash Flow Data'!F16,0)</f>
        <v>4</v>
      </c>
      <c r="E84" s="13">
        <f>IFERROR('Cash Flow Data'!G16,0)</f>
        <v>42</v>
      </c>
      <c r="F84" s="13">
        <f>IFERROR('Cash Flow Data'!H16,0)</f>
        <v>89</v>
      </c>
      <c r="G84" s="13">
        <f>IFERROR('Cash Flow Data'!I16,0)</f>
        <v>1965</v>
      </c>
      <c r="H84" s="13">
        <f>IFERROR('Cash Flow Data'!J16,0)</f>
        <v>2381</v>
      </c>
      <c r="I84" s="13">
        <f>IFERROR('Cash Flow Data'!K16,0)</f>
        <v>5644</v>
      </c>
      <c r="J84" s="13">
        <f>IFERROR('Cash Flow Data'!L16,0)</f>
        <v>21</v>
      </c>
      <c r="K84" s="13">
        <f>IFERROR('Cash Flow Data'!M16,0)</f>
        <v>226</v>
      </c>
      <c r="L84" s="13">
        <f>IFERROR('Cash Flow Data'!N16,0)</f>
        <v>104</v>
      </c>
    </row>
    <row r="85" spans="2:12" x14ac:dyDescent="0.3">
      <c r="B85" t="s">
        <v>91</v>
      </c>
      <c r="C85" s="13">
        <f>IFERROR('Cash Flow Data'!E17,0)</f>
        <v>713</v>
      </c>
      <c r="D85" s="13">
        <f>IFERROR('Cash Flow Data'!F17,0)</f>
        <v>653</v>
      </c>
      <c r="E85" s="13">
        <f>IFERROR('Cash Flow Data'!G17,0)</f>
        <v>698</v>
      </c>
      <c r="F85" s="13">
        <f>IFERROR('Cash Flow Data'!H17,0)</f>
        <v>731</v>
      </c>
      <c r="G85" s="13">
        <f>IFERROR('Cash Flow Data'!I17,0)</f>
        <v>638</v>
      </c>
      <c r="H85" s="13">
        <f>IFERROR('Cash Flow Data'!J17,0)</f>
        <v>690</v>
      </c>
      <c r="I85" s="13">
        <f>IFERROR('Cash Flow Data'!K17,0)</f>
        <v>761</v>
      </c>
      <c r="J85" s="13">
        <f>IFERROR('Cash Flow Data'!L17,0)</f>
        <v>1104</v>
      </c>
      <c r="K85" s="13">
        <f>IFERROR('Cash Flow Data'!M17,0)</f>
        <v>428</v>
      </c>
      <c r="L85" s="13">
        <f>IFERROR('Cash Flow Data'!N17,0)</f>
        <v>653</v>
      </c>
    </row>
    <row r="86" spans="2:12" x14ac:dyDescent="0.3">
      <c r="B86" t="s">
        <v>92</v>
      </c>
      <c r="C86" s="13">
        <f>IFERROR('Cash Flow Data'!E18,0)</f>
        <v>95</v>
      </c>
      <c r="D86" s="13">
        <f>IFERROR('Cash Flow Data'!F18,0)</f>
        <v>40</v>
      </c>
      <c r="E86" s="13">
        <f>IFERROR('Cash Flow Data'!G18,0)</f>
        <v>80</v>
      </c>
      <c r="F86" s="13">
        <f>IFERROR('Cash Flow Data'!H18,0)</f>
        <v>58</v>
      </c>
      <c r="G86" s="13">
        <f>IFERROR('Cash Flow Data'!I18,0)</f>
        <v>620</v>
      </c>
      <c r="H86" s="13">
        <f>IFERROR('Cash Flow Data'!J18,0)</f>
        <v>1797</v>
      </c>
      <c r="I86" s="13">
        <f>IFERROR('Cash Flow Data'!K18,0)</f>
        <v>232</v>
      </c>
      <c r="J86" s="13">
        <f>IFERROR('Cash Flow Data'!L18,0)</f>
        <v>21</v>
      </c>
      <c r="K86" s="13">
        <f>IFERROR('Cash Flow Data'!M18,0)</f>
        <v>18</v>
      </c>
      <c r="L86" s="13">
        <f>IFERROR('Cash Flow Data'!N18,0)</f>
        <v>32</v>
      </c>
    </row>
    <row r="87" spans="2:12" x14ac:dyDescent="0.3">
      <c r="B87" t="s">
        <v>93</v>
      </c>
      <c r="C87" s="13">
        <f>IFERROR('Cash Flow Data'!E19,0)</f>
        <v>0</v>
      </c>
      <c r="D87" s="13">
        <f>IFERROR('Cash Flow Data'!F19,0)</f>
        <v>0</v>
      </c>
      <c r="E87" s="13">
        <f>IFERROR('Cash Flow Data'!G19,0)</f>
        <v>0</v>
      </c>
      <c r="F87" s="13">
        <f>IFERROR('Cash Flow Data'!H19,0)</f>
        <v>0</v>
      </c>
      <c r="G87" s="13">
        <f>IFERROR('Cash Flow Data'!I19,0)</f>
        <v>0</v>
      </c>
      <c r="H87" s="13">
        <f>IFERROR('Cash Flow Data'!J19,0)</f>
        <v>0</v>
      </c>
      <c r="I87" s="13">
        <f>IFERROR('Cash Flow Data'!K19,0)</f>
        <v>0</v>
      </c>
      <c r="J87" s="13">
        <f>IFERROR('Cash Flow Data'!L19,0)</f>
        <v>0</v>
      </c>
      <c r="K87" s="13">
        <f>IFERROR('Cash Flow Data'!M19,0)</f>
        <v>0</v>
      </c>
      <c r="L87" s="13">
        <f>IFERROR('Cash Flow Data'!N19,0)</f>
        <v>0</v>
      </c>
    </row>
    <row r="88" spans="2:12" x14ac:dyDescent="0.3">
      <c r="B88" t="s">
        <v>94</v>
      </c>
      <c r="C88" s="13">
        <f>IFERROR('Cash Flow Data'!E20,0)</f>
        <v>0</v>
      </c>
      <c r="D88" s="13">
        <f>IFERROR('Cash Flow Data'!F20,0)</f>
        <v>0</v>
      </c>
      <c r="E88" s="13">
        <f>IFERROR('Cash Flow Data'!G20,0)</f>
        <v>-160</v>
      </c>
      <c r="F88" s="13">
        <f>IFERROR('Cash Flow Data'!H20,0)</f>
        <v>0</v>
      </c>
      <c r="G88" s="13">
        <f>IFERROR('Cash Flow Data'!I20,0)</f>
        <v>-107</v>
      </c>
      <c r="H88" s="13">
        <f>IFERROR('Cash Flow Data'!J20,0)</f>
        <v>-4</v>
      </c>
      <c r="I88" s="13">
        <f>IFERROR('Cash Flow Data'!K20,0)</f>
        <v>-9</v>
      </c>
      <c r="J88" s="13">
        <f>IFERROR('Cash Flow Data'!L20,0)</f>
        <v>-606</v>
      </c>
      <c r="K88" s="13">
        <f>IFERROR('Cash Flow Data'!M20,0)</f>
        <v>-10</v>
      </c>
      <c r="L88" s="13">
        <f>IFERROR('Cash Flow Data'!N20,0)</f>
        <v>0</v>
      </c>
    </row>
    <row r="89" spans="2:12" x14ac:dyDescent="0.3">
      <c r="B89" t="s">
        <v>95</v>
      </c>
      <c r="C89" s="13">
        <f>IFERROR('Cash Flow Data'!E21,0)</f>
        <v>0</v>
      </c>
      <c r="D89" s="13">
        <f>IFERROR('Cash Flow Data'!F21,0)</f>
        <v>0</v>
      </c>
      <c r="E89" s="13">
        <f>IFERROR('Cash Flow Data'!G21,0)</f>
        <v>0</v>
      </c>
      <c r="F89" s="13">
        <f>IFERROR('Cash Flow Data'!H21,0)</f>
        <v>0</v>
      </c>
      <c r="G89" s="13">
        <f>IFERROR('Cash Flow Data'!I21,0)</f>
        <v>0</v>
      </c>
      <c r="H89" s="13">
        <f>IFERROR('Cash Flow Data'!J21,0)</f>
        <v>14</v>
      </c>
      <c r="I89" s="13">
        <f>IFERROR('Cash Flow Data'!K21,0)</f>
        <v>533</v>
      </c>
      <c r="J89" s="13">
        <f>IFERROR('Cash Flow Data'!L21,0)</f>
        <v>0</v>
      </c>
      <c r="K89" s="13">
        <f>IFERROR('Cash Flow Data'!M21,0)</f>
        <v>0</v>
      </c>
      <c r="L89" s="13">
        <f>IFERROR('Cash Flow Data'!N21,0)</f>
        <v>0</v>
      </c>
    </row>
    <row r="90" spans="2:12" x14ac:dyDescent="0.3">
      <c r="B90" t="s">
        <v>96</v>
      </c>
      <c r="C90" s="13">
        <f>IFERROR('Cash Flow Data'!E22,0)</f>
        <v>0</v>
      </c>
      <c r="D90" s="13">
        <f>IFERROR('Cash Flow Data'!F22,0)</f>
        <v>-185</v>
      </c>
      <c r="E90" s="13">
        <f>IFERROR('Cash Flow Data'!G22,0)</f>
        <v>0</v>
      </c>
      <c r="F90" s="13">
        <f>IFERROR('Cash Flow Data'!H22,0)</f>
        <v>-111</v>
      </c>
      <c r="G90" s="13">
        <f>IFERROR('Cash Flow Data'!I22,0)</f>
        <v>0</v>
      </c>
      <c r="H90" s="13">
        <f>IFERROR('Cash Flow Data'!J22,0)</f>
        <v>0</v>
      </c>
      <c r="I90" s="13">
        <f>IFERROR('Cash Flow Data'!K22,0)</f>
        <v>-8</v>
      </c>
      <c r="J90" s="13">
        <f>IFERROR('Cash Flow Data'!L22,0)</f>
        <v>-27</v>
      </c>
      <c r="K90" s="13">
        <f>IFERROR('Cash Flow Data'!M22,0)</f>
        <v>0</v>
      </c>
      <c r="L90" s="13">
        <f>IFERROR('Cash Flow Data'!N22,0)</f>
        <v>-98</v>
      </c>
    </row>
    <row r="91" spans="2:12" x14ac:dyDescent="0.3">
      <c r="B91" t="s">
        <v>97</v>
      </c>
      <c r="C91" s="13">
        <f>IFERROR('Cash Flow Data'!E23,0)</f>
        <v>45</v>
      </c>
      <c r="D91" s="13">
        <f>IFERROR('Cash Flow Data'!F23,0)</f>
        <v>0</v>
      </c>
      <c r="E91" s="13">
        <f>IFERROR('Cash Flow Data'!G23,0)</f>
        <v>0</v>
      </c>
      <c r="F91" s="13">
        <f>IFERROR('Cash Flow Data'!H23,0)</f>
        <v>0</v>
      </c>
      <c r="G91" s="13">
        <f>IFERROR('Cash Flow Data'!I23,0)</f>
        <v>0</v>
      </c>
      <c r="H91" s="13">
        <f>IFERROR('Cash Flow Data'!J23,0)</f>
        <v>0</v>
      </c>
      <c r="I91" s="13">
        <f>IFERROR('Cash Flow Data'!K23,0)</f>
        <v>0</v>
      </c>
      <c r="J91" s="13">
        <f>IFERROR('Cash Flow Data'!L23,0)</f>
        <v>0</v>
      </c>
      <c r="K91" s="13">
        <f>IFERROR('Cash Flow Data'!M23,0)</f>
        <v>0</v>
      </c>
      <c r="L91" s="13">
        <f>IFERROR('Cash Flow Data'!N23,0)</f>
        <v>0</v>
      </c>
    </row>
    <row r="92" spans="2:12" x14ac:dyDescent="0.3">
      <c r="B92" t="s">
        <v>98</v>
      </c>
      <c r="C92" s="13">
        <f>IFERROR('Cash Flow Data'!E24,0)</f>
        <v>-5103</v>
      </c>
      <c r="D92" s="13">
        <f>IFERROR('Cash Flow Data'!F24,0)</f>
        <v>-1149</v>
      </c>
      <c r="E92" s="13">
        <f>IFERROR('Cash Flow Data'!G24,0)</f>
        <v>456</v>
      </c>
      <c r="F92" s="13">
        <f>IFERROR('Cash Flow Data'!H24,0)</f>
        <v>-1289</v>
      </c>
      <c r="G92" s="13">
        <f>IFERROR('Cash Flow Data'!I24,0)</f>
        <v>-26663</v>
      </c>
      <c r="H92" s="13">
        <f>IFERROR('Cash Flow Data'!J24,0)</f>
        <v>5360</v>
      </c>
      <c r="I92" s="13">
        <f>IFERROR('Cash Flow Data'!K24,0)</f>
        <v>7335</v>
      </c>
      <c r="J92" s="13">
        <f>IFERROR('Cash Flow Data'!L24,0)</f>
        <v>-2659</v>
      </c>
      <c r="K92" s="13">
        <f>IFERROR('Cash Flow Data'!M24,0)</f>
        <v>1051</v>
      </c>
      <c r="L92" s="13">
        <f>IFERROR('Cash Flow Data'!N24,0)</f>
        <v>12813</v>
      </c>
    </row>
    <row r="93" spans="2:12" x14ac:dyDescent="0.3">
      <c r="B93" s="12" t="s">
        <v>112</v>
      </c>
      <c r="C93" s="18">
        <f>IFERROR(SUM(C81:C92),0)</f>
        <v>-22969</v>
      </c>
      <c r="D93" s="18">
        <f t="shared" ref="D93:L93" si="32">IFERROR(SUM(D81:D92),0)</f>
        <v>-27991</v>
      </c>
      <c r="E93" s="18">
        <f t="shared" si="32"/>
        <v>-36233</v>
      </c>
      <c r="F93" s="18">
        <f t="shared" si="32"/>
        <v>-36694</v>
      </c>
      <c r="G93" s="18">
        <f t="shared" si="32"/>
        <v>-39572</v>
      </c>
      <c r="H93" s="18">
        <f t="shared" si="32"/>
        <v>-25140</v>
      </c>
      <c r="I93" s="18">
        <f t="shared" si="32"/>
        <v>-20879</v>
      </c>
      <c r="J93" s="18">
        <f t="shared" si="32"/>
        <v>-33116</v>
      </c>
      <c r="K93" s="18">
        <f t="shared" si="32"/>
        <v>-25671</v>
      </c>
      <c r="L93" s="18">
        <f t="shared" si="32"/>
        <v>-4442</v>
      </c>
    </row>
    <row r="95" spans="2:12" x14ac:dyDescent="0.3">
      <c r="B95" s="12" t="s">
        <v>113</v>
      </c>
    </row>
    <row r="96" spans="2:12" x14ac:dyDescent="0.3">
      <c r="B96" t="s">
        <v>99</v>
      </c>
      <c r="C96" s="13">
        <f>IFERROR('Cash Flow Data'!E26,0)</f>
        <v>1</v>
      </c>
      <c r="D96" s="13">
        <f>IFERROR('Cash Flow Data'!F26,0)</f>
        <v>0</v>
      </c>
      <c r="E96" s="13">
        <f>IFERROR('Cash Flow Data'!G26,0)</f>
        <v>0</v>
      </c>
      <c r="F96" s="13">
        <f>IFERROR('Cash Flow Data'!H26,0)</f>
        <v>7433</v>
      </c>
      <c r="G96" s="13">
        <f>IFERROR('Cash Flow Data'!I26,0)</f>
        <v>5</v>
      </c>
      <c r="H96" s="13">
        <f>IFERROR('Cash Flow Data'!J26,0)</f>
        <v>0</v>
      </c>
      <c r="I96" s="13">
        <f>IFERROR('Cash Flow Data'!K26,0)</f>
        <v>0</v>
      </c>
      <c r="J96" s="13">
        <f>IFERROR('Cash Flow Data'!L26,0)</f>
        <v>3889</v>
      </c>
      <c r="K96" s="13">
        <f>IFERROR('Cash Flow Data'!M26,0)</f>
        <v>2603</v>
      </c>
      <c r="L96" s="13">
        <f>IFERROR('Cash Flow Data'!N26,0)</f>
        <v>19</v>
      </c>
    </row>
    <row r="97" spans="2:12" x14ac:dyDescent="0.3">
      <c r="B97" t="s">
        <v>100</v>
      </c>
      <c r="C97" s="13">
        <f>IFERROR('Cash Flow Data'!E27,0)</f>
        <v>-97</v>
      </c>
      <c r="D97" s="13">
        <f>IFERROR('Cash Flow Data'!F27,0)</f>
        <v>-658</v>
      </c>
      <c r="E97" s="13">
        <f>IFERROR('Cash Flow Data'!G27,0)</f>
        <v>-744</v>
      </c>
      <c r="F97" s="13">
        <f>IFERROR('Cash Flow Data'!H27,0)</f>
        <v>0</v>
      </c>
      <c r="G97" s="13">
        <f>IFERROR('Cash Flow Data'!I27,0)</f>
        <v>0</v>
      </c>
      <c r="H97" s="13">
        <f>IFERROR('Cash Flow Data'!J27,0)</f>
        <v>0</v>
      </c>
      <c r="I97" s="13">
        <f>IFERROR('Cash Flow Data'!K27,0)</f>
        <v>0</v>
      </c>
      <c r="J97" s="13">
        <f>IFERROR('Cash Flow Data'!L27,0)</f>
        <v>0</v>
      </c>
      <c r="K97" s="13">
        <f>IFERROR('Cash Flow Data'!M27,0)</f>
        <v>0</v>
      </c>
      <c r="L97" s="13">
        <f>IFERROR('Cash Flow Data'!N27,0)</f>
        <v>0</v>
      </c>
    </row>
    <row r="98" spans="2:12" x14ac:dyDescent="0.3">
      <c r="B98" t="s">
        <v>101</v>
      </c>
      <c r="C98" s="13">
        <f>IFERROR('Cash Flow Data'!E28,0)</f>
        <v>27863</v>
      </c>
      <c r="D98" s="13">
        <f>IFERROR('Cash Flow Data'!F28,0)</f>
        <v>33258</v>
      </c>
      <c r="E98" s="13">
        <f>IFERROR('Cash Flow Data'!G28,0)</f>
        <v>36363</v>
      </c>
      <c r="F98" s="13">
        <f>IFERROR('Cash Flow Data'!H28,0)</f>
        <v>19519</v>
      </c>
      <c r="G98" s="13">
        <f>IFERROR('Cash Flow Data'!I28,0)</f>
        <v>33390</v>
      </c>
      <c r="H98" s="13">
        <f>IFERROR('Cash Flow Data'!J28,0)</f>
        <v>37482</v>
      </c>
      <c r="I98" s="13">
        <f>IFERROR('Cash Flow Data'!K28,0)</f>
        <v>51128</v>
      </c>
      <c r="J98" s="13">
        <f>IFERROR('Cash Flow Data'!L28,0)</f>
        <v>38297</v>
      </c>
      <c r="K98" s="13">
        <f>IFERROR('Cash Flow Data'!M28,0)</f>
        <v>46641</v>
      </c>
      <c r="L98" s="13">
        <f>IFERROR('Cash Flow Data'!N28,0)</f>
        <v>46578</v>
      </c>
    </row>
    <row r="99" spans="2:12" x14ac:dyDescent="0.3">
      <c r="B99" t="s">
        <v>102</v>
      </c>
      <c r="C99" s="13">
        <f>IFERROR('Cash Flow Data'!E29,0)</f>
        <v>-20395</v>
      </c>
      <c r="D99" s="13">
        <f>IFERROR('Cash Flow Data'!F29,0)</f>
        <v>-29141</v>
      </c>
      <c r="E99" s="13">
        <f>IFERROR('Cash Flow Data'!G29,0)</f>
        <v>-23332</v>
      </c>
      <c r="F99" s="13">
        <f>IFERROR('Cash Flow Data'!H29,0)</f>
        <v>-24924</v>
      </c>
      <c r="G99" s="13">
        <f>IFERROR('Cash Flow Data'!I29,0)</f>
        <v>-21732</v>
      </c>
      <c r="H99" s="13">
        <f>IFERROR('Cash Flow Data'!J29,0)</f>
        <v>-29964</v>
      </c>
      <c r="I99" s="13">
        <f>IFERROR('Cash Flow Data'!K29,0)</f>
        <v>-35198</v>
      </c>
      <c r="J99" s="13">
        <f>IFERROR('Cash Flow Data'!L29,0)</f>
        <v>-29847</v>
      </c>
      <c r="K99" s="13">
        <f>IFERROR('Cash Flow Data'!M29,0)</f>
        <v>-29709</v>
      </c>
      <c r="L99" s="13">
        <f>IFERROR('Cash Flow Data'!N29,0)</f>
        <v>-42816</v>
      </c>
    </row>
    <row r="100" spans="2:12" x14ac:dyDescent="0.3">
      <c r="B100" t="s">
        <v>103</v>
      </c>
      <c r="C100" s="13">
        <f>IFERROR('Cash Flow Data'!E30,0)</f>
        <v>0</v>
      </c>
      <c r="D100" s="13">
        <f>IFERROR('Cash Flow Data'!F30,0)</f>
        <v>0</v>
      </c>
      <c r="E100" s="13">
        <f>IFERROR('Cash Flow Data'!G30,0)</f>
        <v>0</v>
      </c>
      <c r="F100" s="13">
        <f>IFERROR('Cash Flow Data'!H30,0)</f>
        <v>0</v>
      </c>
      <c r="G100" s="13">
        <f>IFERROR('Cash Flow Data'!I30,0)</f>
        <v>0</v>
      </c>
      <c r="H100" s="13">
        <f>IFERROR('Cash Flow Data'!J30,0)</f>
        <v>0</v>
      </c>
      <c r="I100" s="13">
        <f>IFERROR('Cash Flow Data'!K30,0)</f>
        <v>0</v>
      </c>
      <c r="J100" s="13">
        <f>IFERROR('Cash Flow Data'!L30,0)</f>
        <v>0</v>
      </c>
      <c r="K100" s="13">
        <f>IFERROR('Cash Flow Data'!M30,0)</f>
        <v>0</v>
      </c>
      <c r="L100" s="13">
        <f>IFERROR('Cash Flow Data'!N30,0)</f>
        <v>0</v>
      </c>
    </row>
    <row r="101" spans="2:12" x14ac:dyDescent="0.3">
      <c r="B101" t="s">
        <v>104</v>
      </c>
      <c r="C101" s="13">
        <f>IFERROR('Cash Flow Data'!E31,0)</f>
        <v>-4666</v>
      </c>
      <c r="D101" s="13">
        <f>IFERROR('Cash Flow Data'!F31,0)</f>
        <v>-6171</v>
      </c>
      <c r="E101" s="13">
        <f>IFERROR('Cash Flow Data'!G31,0)</f>
        <v>-6307</v>
      </c>
      <c r="F101" s="13">
        <f>IFERROR('Cash Flow Data'!H31,0)</f>
        <v>-5716</v>
      </c>
      <c r="G101" s="13">
        <f>IFERROR('Cash Flow Data'!I31,0)</f>
        <v>-5336</v>
      </c>
      <c r="H101" s="13">
        <f>IFERROR('Cash Flow Data'!J31,0)</f>
        <v>-5411</v>
      </c>
      <c r="I101" s="13">
        <f>IFERROR('Cash Flow Data'!K31,0)</f>
        <v>-7005</v>
      </c>
      <c r="J101" s="13">
        <f>IFERROR('Cash Flow Data'!L31,0)</f>
        <v>-7518</v>
      </c>
      <c r="K101" s="13">
        <f>IFERROR('Cash Flow Data'!M31,0)</f>
        <v>-8123</v>
      </c>
      <c r="L101" s="13">
        <f>IFERROR('Cash Flow Data'!N31,0)</f>
        <v>-9251</v>
      </c>
    </row>
    <row r="102" spans="2:12" x14ac:dyDescent="0.3">
      <c r="B102" t="s">
        <v>105</v>
      </c>
      <c r="C102" s="13">
        <f>IFERROR('Cash Flow Data'!E32,0)</f>
        <v>-1551</v>
      </c>
      <c r="D102" s="13">
        <f>IFERROR('Cash Flow Data'!F32,0)</f>
        <v>-722</v>
      </c>
      <c r="E102" s="13">
        <f>IFERROR('Cash Flow Data'!G32,0)</f>
        <v>-720</v>
      </c>
      <c r="F102" s="13">
        <f>IFERROR('Cash Flow Data'!H32,0)</f>
        <v>-108</v>
      </c>
      <c r="G102" s="13">
        <f>IFERROR('Cash Flow Data'!I32,0)</f>
        <v>-121</v>
      </c>
      <c r="H102" s="13">
        <f>IFERROR('Cash Flow Data'!J32,0)</f>
        <v>-96</v>
      </c>
      <c r="I102" s="13">
        <f>IFERROR('Cash Flow Data'!K32,0)</f>
        <v>-95</v>
      </c>
      <c r="J102" s="13">
        <f>IFERROR('Cash Flow Data'!L32,0)</f>
        <v>-57</v>
      </c>
      <c r="K102" s="13">
        <f>IFERROR('Cash Flow Data'!M32,0)</f>
        <v>-30</v>
      </c>
      <c r="L102" s="13">
        <f>IFERROR('Cash Flow Data'!N32,0)</f>
        <v>-100</v>
      </c>
    </row>
    <row r="103" spans="2:12" x14ac:dyDescent="0.3">
      <c r="B103" t="s">
        <v>106</v>
      </c>
      <c r="C103" s="13">
        <f>IFERROR('Cash Flow Data'!E33,0)</f>
        <v>0</v>
      </c>
      <c r="D103" s="13">
        <f>IFERROR('Cash Flow Data'!F33,0)</f>
        <v>0</v>
      </c>
      <c r="E103" s="13">
        <f>IFERROR('Cash Flow Data'!G33,0)</f>
        <v>0</v>
      </c>
      <c r="F103" s="13">
        <f>IFERROR('Cash Flow Data'!H33,0)</f>
        <v>0</v>
      </c>
      <c r="G103" s="13">
        <f>IFERROR('Cash Flow Data'!I33,0)</f>
        <v>0</v>
      </c>
      <c r="H103" s="13">
        <f>IFERROR('Cash Flow Data'!J33,0)</f>
        <v>0</v>
      </c>
      <c r="I103" s="13">
        <f>IFERROR('Cash Flow Data'!K33,0)</f>
        <v>0</v>
      </c>
      <c r="J103" s="13">
        <f>IFERROR('Cash Flow Data'!L33,0)</f>
        <v>-1346</v>
      </c>
      <c r="K103" s="13">
        <f>IFERROR('Cash Flow Data'!M33,0)</f>
        <v>-1477</v>
      </c>
      <c r="L103" s="13">
        <f>IFERROR('Cash Flow Data'!N33,0)</f>
        <v>-1559</v>
      </c>
    </row>
    <row r="104" spans="2:12" x14ac:dyDescent="0.3">
      <c r="B104" t="s">
        <v>107</v>
      </c>
      <c r="C104" s="13">
        <f>IFERROR('Cash Flow Data'!E34,0)</f>
        <v>-2849</v>
      </c>
      <c r="D104" s="13">
        <f>IFERROR('Cash Flow Data'!F34,0)</f>
        <v>-450</v>
      </c>
      <c r="E104" s="13">
        <f>IFERROR('Cash Flow Data'!G34,0)</f>
        <v>-57</v>
      </c>
      <c r="F104" s="13">
        <f>IFERROR('Cash Flow Data'!H34,0)</f>
        <v>0</v>
      </c>
      <c r="G104" s="13">
        <f>IFERROR('Cash Flow Data'!I34,0)</f>
        <v>0</v>
      </c>
      <c r="H104" s="13">
        <f>IFERROR('Cash Flow Data'!J34,0)</f>
        <v>0</v>
      </c>
      <c r="I104" s="13">
        <f>IFERROR('Cash Flow Data'!K34,0)</f>
        <v>0</v>
      </c>
      <c r="J104" s="13">
        <f>IFERROR('Cash Flow Data'!L34,0)</f>
        <v>-29</v>
      </c>
      <c r="K104" s="13">
        <f>IFERROR('Cash Flow Data'!M34,0)</f>
        <v>0</v>
      </c>
      <c r="L104" s="13">
        <f>IFERROR('Cash Flow Data'!N34,0)</f>
        <v>3750</v>
      </c>
    </row>
    <row r="105" spans="2:12" x14ac:dyDescent="0.3">
      <c r="B105" s="12" t="s">
        <v>114</v>
      </c>
      <c r="C105" s="18">
        <f>SUM(C96:C104)</f>
        <v>-1694</v>
      </c>
      <c r="D105" s="18">
        <f t="shared" ref="D105:L105" si="33">SUM(D96:D104)</f>
        <v>-3884</v>
      </c>
      <c r="E105" s="18">
        <f t="shared" si="33"/>
        <v>5203</v>
      </c>
      <c r="F105" s="18">
        <f t="shared" si="33"/>
        <v>-3796</v>
      </c>
      <c r="G105" s="18">
        <f t="shared" si="33"/>
        <v>6206</v>
      </c>
      <c r="H105" s="18">
        <f t="shared" si="33"/>
        <v>2011</v>
      </c>
      <c r="I105" s="18">
        <f t="shared" si="33"/>
        <v>8830</v>
      </c>
      <c r="J105" s="18">
        <f t="shared" si="33"/>
        <v>3389</v>
      </c>
      <c r="K105" s="18">
        <f t="shared" si="33"/>
        <v>9905</v>
      </c>
      <c r="L105" s="18">
        <f t="shared" si="33"/>
        <v>-3379</v>
      </c>
    </row>
    <row r="107" spans="2:12" x14ac:dyDescent="0.3">
      <c r="B107" s="12" t="s">
        <v>52</v>
      </c>
      <c r="C107" s="18">
        <f>SUM(C78,C93,C105)</f>
        <v>-2504</v>
      </c>
      <c r="D107" s="18">
        <f t="shared" ref="D107:L107" si="34">SUM(D78,D93,D105)</f>
        <v>8433</v>
      </c>
      <c r="E107" s="18">
        <f t="shared" si="34"/>
        <v>830</v>
      </c>
      <c r="F107" s="18">
        <f t="shared" si="34"/>
        <v>-1278</v>
      </c>
      <c r="G107" s="18">
        <f t="shared" si="34"/>
        <v>88</v>
      </c>
      <c r="H107" s="18">
        <f t="shared" si="34"/>
        <v>-5706</v>
      </c>
      <c r="I107" s="18">
        <f t="shared" si="34"/>
        <v>-378</v>
      </c>
      <c r="J107" s="18">
        <f t="shared" si="34"/>
        <v>1971</v>
      </c>
      <c r="K107" s="18">
        <f t="shared" si="34"/>
        <v>13141</v>
      </c>
      <c r="L107" s="18">
        <f t="shared" si="34"/>
        <v>-4013</v>
      </c>
    </row>
    <row r="147" spans="4:4" x14ac:dyDescent="0.3">
      <c r="D147" s="26"/>
    </row>
  </sheetData>
  <mergeCells count="1">
    <mergeCell ref="B2:M2"/>
  </mergeCells>
  <pageMargins left="0.7" right="0.7" top="0.75" bottom="0.75" header="0.3" footer="0.3"/>
  <ignoredErrors>
    <ignoredError sqref="M5 M8 C14:L14 M20 M23 M2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B26" sqref="B26:B34"/>
    </sheetView>
  </sheetViews>
  <sheetFormatPr defaultRowHeight="14.4" x14ac:dyDescent="0.3"/>
  <cols>
    <col min="2" max="2" width="28" bestFit="1" customWidth="1"/>
    <col min="3" max="14" width="7.33203125" bestFit="1" customWidth="1"/>
  </cols>
  <sheetData>
    <row r="2" spans="2:14" x14ac:dyDescent="0.3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3">
      <c r="B3" s="12" t="s">
        <v>108</v>
      </c>
      <c r="C3" s="19">
        <v>11240</v>
      </c>
      <c r="D3" s="19">
        <v>18384</v>
      </c>
      <c r="E3" s="19">
        <v>22163</v>
      </c>
      <c r="F3" s="19">
        <v>36151</v>
      </c>
      <c r="G3" s="19">
        <v>35531</v>
      </c>
      <c r="H3" s="19">
        <v>37900</v>
      </c>
      <c r="I3" s="19">
        <v>30199</v>
      </c>
      <c r="J3" s="19">
        <v>23857</v>
      </c>
      <c r="K3" s="19">
        <v>18891</v>
      </c>
      <c r="L3" s="19">
        <v>26633</v>
      </c>
      <c r="M3" s="19">
        <v>29001</v>
      </c>
      <c r="N3" s="19">
        <v>14283</v>
      </c>
    </row>
    <row r="4" spans="2:14" x14ac:dyDescent="0.3">
      <c r="B4" t="s">
        <v>81</v>
      </c>
      <c r="C4" s="19">
        <v>16680</v>
      </c>
      <c r="D4" s="19">
        <v>22432</v>
      </c>
      <c r="E4" s="19">
        <v>24406</v>
      </c>
      <c r="F4" s="19">
        <v>36303</v>
      </c>
      <c r="G4" s="19">
        <v>43397</v>
      </c>
      <c r="H4" s="19">
        <v>38626</v>
      </c>
      <c r="I4" s="19">
        <v>28840</v>
      </c>
      <c r="J4" s="19">
        <v>33312</v>
      </c>
      <c r="K4" s="19">
        <v>28771</v>
      </c>
      <c r="L4" s="19">
        <v>23352</v>
      </c>
      <c r="M4" s="19">
        <v>31198</v>
      </c>
      <c r="N4" s="19">
        <v>26666</v>
      </c>
    </row>
    <row r="5" spans="2:14" x14ac:dyDescent="0.3">
      <c r="B5" t="s">
        <v>42</v>
      </c>
      <c r="C5" s="19">
        <v>-1422</v>
      </c>
      <c r="D5" s="19">
        <v>-6659</v>
      </c>
      <c r="E5" s="19">
        <v>-5177</v>
      </c>
      <c r="F5">
        <v>445</v>
      </c>
      <c r="G5" s="19">
        <v>-3179</v>
      </c>
      <c r="H5" s="19">
        <v>-2223</v>
      </c>
      <c r="I5" s="19">
        <v>-4152</v>
      </c>
      <c r="J5" s="19">
        <v>-10688</v>
      </c>
      <c r="K5" s="19">
        <v>-9109</v>
      </c>
      <c r="L5" s="19">
        <v>9950</v>
      </c>
      <c r="M5" s="19">
        <v>-5505</v>
      </c>
      <c r="N5">
        <v>337</v>
      </c>
    </row>
    <row r="6" spans="2:14" x14ac:dyDescent="0.3">
      <c r="B6" t="s">
        <v>43</v>
      </c>
      <c r="C6" s="19">
        <v>-2411</v>
      </c>
      <c r="D6" s="19">
        <v>-2719</v>
      </c>
      <c r="E6" s="19">
        <v>-2656</v>
      </c>
      <c r="F6" s="19">
        <v>-2853</v>
      </c>
      <c r="G6" s="19">
        <v>-3692</v>
      </c>
      <c r="H6" s="19">
        <v>-5743</v>
      </c>
      <c r="I6" s="19">
        <v>-6621</v>
      </c>
      <c r="J6" s="19">
        <v>-3560</v>
      </c>
      <c r="K6" s="19">
        <v>2069</v>
      </c>
      <c r="L6" s="19">
        <v>2326</v>
      </c>
      <c r="M6" s="19">
        <v>3814</v>
      </c>
      <c r="N6">
        <v>597</v>
      </c>
    </row>
    <row r="7" spans="2:14" x14ac:dyDescent="0.3">
      <c r="B7" t="s">
        <v>82</v>
      </c>
      <c r="C7">
        <v>344</v>
      </c>
      <c r="D7" s="19">
        <v>5867</v>
      </c>
      <c r="E7" s="19">
        <v>8132</v>
      </c>
      <c r="F7" s="19">
        <v>4694</v>
      </c>
      <c r="G7" s="19">
        <v>3598</v>
      </c>
      <c r="H7" s="19">
        <v>3947</v>
      </c>
      <c r="I7" s="19">
        <v>9301</v>
      </c>
      <c r="J7" s="19">
        <v>7320</v>
      </c>
      <c r="K7" s="19">
        <v>-4692</v>
      </c>
      <c r="L7" s="19">
        <v>-8085</v>
      </c>
      <c r="M7" s="19">
        <v>5748</v>
      </c>
      <c r="N7" s="19">
        <v>-7012</v>
      </c>
    </row>
    <row r="8" spans="2:14" x14ac:dyDescent="0.3">
      <c r="B8" t="s">
        <v>83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84</v>
      </c>
      <c r="C9">
        <v>-559</v>
      </c>
      <c r="D9" s="19">
        <v>1231</v>
      </c>
      <c r="E9">
        <v>-303</v>
      </c>
      <c r="F9" s="19">
        <v>1870</v>
      </c>
      <c r="G9">
        <v>-398</v>
      </c>
      <c r="H9" s="19">
        <v>5852</v>
      </c>
      <c r="I9" s="19">
        <v>4727</v>
      </c>
      <c r="J9">
        <v>494</v>
      </c>
      <c r="K9" s="19">
        <v>4512</v>
      </c>
      <c r="L9">
        <v>875</v>
      </c>
      <c r="M9" s="19">
        <v>-4150</v>
      </c>
      <c r="N9" s="19">
        <v>-4396</v>
      </c>
    </row>
    <row r="10" spans="2:14" x14ac:dyDescent="0.3">
      <c r="B10" t="s">
        <v>85</v>
      </c>
      <c r="C10" s="19">
        <v>-4048</v>
      </c>
      <c r="D10" s="19">
        <v>-2280</v>
      </c>
      <c r="E10">
        <v>-3</v>
      </c>
      <c r="F10" s="19">
        <v>4157</v>
      </c>
      <c r="G10" s="19">
        <v>-3672</v>
      </c>
      <c r="H10" s="19">
        <v>1313</v>
      </c>
      <c r="I10" s="19">
        <v>3254</v>
      </c>
      <c r="J10" s="19">
        <v>-6434</v>
      </c>
      <c r="K10" s="19">
        <v>-7221</v>
      </c>
      <c r="L10" s="19">
        <v>5065</v>
      </c>
      <c r="M10">
        <v>-93</v>
      </c>
      <c r="N10" s="19">
        <v>-10474</v>
      </c>
    </row>
    <row r="11" spans="2:14" x14ac:dyDescent="0.3">
      <c r="B11" t="s">
        <v>86</v>
      </c>
      <c r="C11" s="19">
        <v>-1391</v>
      </c>
      <c r="D11" s="19">
        <v>-1768</v>
      </c>
      <c r="E11" s="19">
        <v>-2240</v>
      </c>
      <c r="F11" s="19">
        <v>-4308</v>
      </c>
      <c r="G11" s="19">
        <v>-4194</v>
      </c>
      <c r="H11" s="19">
        <v>-2040</v>
      </c>
      <c r="I11" s="19">
        <v>-1895</v>
      </c>
      <c r="J11" s="19">
        <v>-3021</v>
      </c>
      <c r="K11" s="19">
        <v>-2659</v>
      </c>
      <c r="L11" s="19">
        <v>-1785</v>
      </c>
      <c r="M11" s="19">
        <v>-2105</v>
      </c>
      <c r="N11" s="19">
        <v>-1910</v>
      </c>
    </row>
    <row r="12" spans="2:14" x14ac:dyDescent="0.3">
      <c r="B12" s="12" t="s">
        <v>109</v>
      </c>
      <c r="C12" s="19">
        <v>-7023</v>
      </c>
      <c r="D12" s="19">
        <v>-19464</v>
      </c>
      <c r="E12" s="19">
        <v>-22969</v>
      </c>
      <c r="F12" s="19">
        <v>-27991</v>
      </c>
      <c r="G12" s="19">
        <v>-36232</v>
      </c>
      <c r="H12" s="19">
        <v>-36694</v>
      </c>
      <c r="I12" s="19">
        <v>-39571</v>
      </c>
      <c r="J12" s="19">
        <v>-25139</v>
      </c>
      <c r="K12" s="19">
        <v>-20878</v>
      </c>
      <c r="L12" s="19">
        <v>-33115</v>
      </c>
      <c r="M12" s="19">
        <v>-25672</v>
      </c>
      <c r="N12" s="19">
        <v>-4444</v>
      </c>
    </row>
    <row r="13" spans="2:14" x14ac:dyDescent="0.3">
      <c r="B13" t="s">
        <v>87</v>
      </c>
      <c r="C13" s="19">
        <v>-8124</v>
      </c>
      <c r="D13" s="19">
        <v>-13876</v>
      </c>
      <c r="E13" s="19">
        <v>-18863</v>
      </c>
      <c r="F13" s="19">
        <v>-26975</v>
      </c>
      <c r="G13" s="19">
        <v>-31962</v>
      </c>
      <c r="H13" s="19">
        <v>-31503</v>
      </c>
      <c r="I13" s="19">
        <v>-16072</v>
      </c>
      <c r="J13" s="19">
        <v>-35079</v>
      </c>
      <c r="K13" s="19">
        <v>-35304</v>
      </c>
      <c r="L13" s="19">
        <v>-29702</v>
      </c>
      <c r="M13" s="19">
        <v>-20205</v>
      </c>
      <c r="N13" s="19">
        <v>-15168</v>
      </c>
    </row>
    <row r="14" spans="2:14" x14ac:dyDescent="0.3">
      <c r="B14" t="s">
        <v>88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3">
      <c r="B15" t="s">
        <v>89</v>
      </c>
      <c r="C15">
        <v>-147</v>
      </c>
      <c r="D15" s="19">
        <v>-5857</v>
      </c>
      <c r="E15">
        <v>73</v>
      </c>
      <c r="F15">
        <v>-429</v>
      </c>
      <c r="G15" s="19">
        <v>-5461</v>
      </c>
      <c r="H15" s="19">
        <v>-4728</v>
      </c>
      <c r="I15">
        <v>-6</v>
      </c>
      <c r="J15">
        <v>-329</v>
      </c>
      <c r="K15">
        <v>-130</v>
      </c>
      <c r="L15" s="19">
        <v>-1439</v>
      </c>
      <c r="M15" s="19">
        <v>-7530</v>
      </c>
      <c r="N15" s="19">
        <v>-3008</v>
      </c>
    </row>
    <row r="16" spans="2:14" x14ac:dyDescent="0.3">
      <c r="B16" t="s">
        <v>90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9">
        <v>1965</v>
      </c>
      <c r="J16" s="19">
        <v>2381</v>
      </c>
      <c r="K16" s="19">
        <v>5644</v>
      </c>
      <c r="L16">
        <v>21</v>
      </c>
      <c r="M16">
        <v>226</v>
      </c>
      <c r="N16">
        <v>104</v>
      </c>
    </row>
    <row r="17" spans="2:14" x14ac:dyDescent="0.3">
      <c r="B17" t="s">
        <v>91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9">
        <v>1104</v>
      </c>
      <c r="M17">
        <v>428</v>
      </c>
      <c r="N17">
        <v>653</v>
      </c>
    </row>
    <row r="18" spans="2:14" x14ac:dyDescent="0.3">
      <c r="B18" t="s">
        <v>92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9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3">
      <c r="B19" t="s">
        <v>93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94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3">
      <c r="B21" t="s">
        <v>95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3">
      <c r="B22" t="s">
        <v>96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3">
      <c r="B23" t="s">
        <v>97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98</v>
      </c>
      <c r="C24">
        <v>884</v>
      </c>
      <c r="D24">
        <v>-129</v>
      </c>
      <c r="E24" s="19">
        <v>-5103</v>
      </c>
      <c r="F24" s="19">
        <v>-1149</v>
      </c>
      <c r="G24">
        <v>456</v>
      </c>
      <c r="H24" s="19">
        <v>-1289</v>
      </c>
      <c r="I24" s="19">
        <v>-26663</v>
      </c>
      <c r="J24" s="19">
        <v>5360</v>
      </c>
      <c r="K24" s="19">
        <v>7335</v>
      </c>
      <c r="L24" s="19">
        <v>-2659</v>
      </c>
      <c r="M24" s="19">
        <v>1051</v>
      </c>
      <c r="N24" s="19">
        <v>12813</v>
      </c>
    </row>
    <row r="25" spans="2:14" x14ac:dyDescent="0.3">
      <c r="B25" s="12" t="s">
        <v>110</v>
      </c>
      <c r="C25" s="19">
        <v>-1401</v>
      </c>
      <c r="D25" s="19">
        <v>6567</v>
      </c>
      <c r="E25" s="19">
        <v>-1692</v>
      </c>
      <c r="F25" s="19">
        <v>-3883</v>
      </c>
      <c r="G25" s="19">
        <v>5201</v>
      </c>
      <c r="H25" s="19">
        <v>-3795</v>
      </c>
      <c r="I25" s="19">
        <v>6205</v>
      </c>
      <c r="J25" s="19">
        <v>2012</v>
      </c>
      <c r="K25" s="19">
        <v>8830</v>
      </c>
      <c r="L25" s="19">
        <v>3390</v>
      </c>
      <c r="M25" s="19">
        <v>9904</v>
      </c>
      <c r="N25" s="19">
        <v>-3380</v>
      </c>
    </row>
    <row r="26" spans="2:14" x14ac:dyDescent="0.3">
      <c r="B26" t="s">
        <v>99</v>
      </c>
      <c r="C26" s="19">
        <v>3258</v>
      </c>
      <c r="D26">
        <v>139</v>
      </c>
      <c r="E26">
        <v>1</v>
      </c>
      <c r="F26">
        <v>0</v>
      </c>
      <c r="G26">
        <v>0</v>
      </c>
      <c r="H26" s="19">
        <v>7433</v>
      </c>
      <c r="I26">
        <v>5</v>
      </c>
      <c r="J26">
        <v>0</v>
      </c>
      <c r="K26">
        <v>0</v>
      </c>
      <c r="L26" s="19">
        <v>3889</v>
      </c>
      <c r="M26" s="19">
        <v>2603</v>
      </c>
      <c r="N26">
        <v>19</v>
      </c>
    </row>
    <row r="27" spans="2:14" x14ac:dyDescent="0.3">
      <c r="B27" t="s">
        <v>100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101</v>
      </c>
      <c r="C28" s="19">
        <v>15530</v>
      </c>
      <c r="D28" s="19">
        <v>27462</v>
      </c>
      <c r="E28" s="19">
        <v>27863</v>
      </c>
      <c r="F28" s="19">
        <v>33258</v>
      </c>
      <c r="G28" s="19">
        <v>36363</v>
      </c>
      <c r="H28" s="19">
        <v>19519</v>
      </c>
      <c r="I28" s="19">
        <v>33390</v>
      </c>
      <c r="J28" s="19">
        <v>37482</v>
      </c>
      <c r="K28" s="19">
        <v>51128</v>
      </c>
      <c r="L28" s="19">
        <v>38297</v>
      </c>
      <c r="M28" s="19">
        <v>46641</v>
      </c>
      <c r="N28" s="19">
        <v>46578</v>
      </c>
    </row>
    <row r="29" spans="2:14" x14ac:dyDescent="0.3">
      <c r="B29" t="s">
        <v>102</v>
      </c>
      <c r="C29" s="19">
        <v>-16641</v>
      </c>
      <c r="D29" s="19">
        <v>-15010</v>
      </c>
      <c r="E29" s="19">
        <v>-20395</v>
      </c>
      <c r="F29" s="19">
        <v>-29141</v>
      </c>
      <c r="G29" s="19">
        <v>-23332</v>
      </c>
      <c r="H29" s="19">
        <v>-24924</v>
      </c>
      <c r="I29" s="19">
        <v>-21732</v>
      </c>
      <c r="J29" s="19">
        <v>-29964</v>
      </c>
      <c r="K29" s="19">
        <v>-35198</v>
      </c>
      <c r="L29" s="19">
        <v>-29847</v>
      </c>
      <c r="M29" s="19">
        <v>-29709</v>
      </c>
      <c r="N29" s="19">
        <v>-42816</v>
      </c>
    </row>
    <row r="30" spans="2:14" x14ac:dyDescent="0.3">
      <c r="B30" t="s">
        <v>103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104</v>
      </c>
      <c r="C31" s="19">
        <v>-2469</v>
      </c>
      <c r="D31" s="19">
        <v>-3374</v>
      </c>
      <c r="E31" s="19">
        <v>-4666</v>
      </c>
      <c r="F31" s="19">
        <v>-6171</v>
      </c>
      <c r="G31" s="19">
        <v>-6307</v>
      </c>
      <c r="H31" s="19">
        <v>-5716</v>
      </c>
      <c r="I31" s="19">
        <v>-5336</v>
      </c>
      <c r="J31" s="19">
        <v>-5411</v>
      </c>
      <c r="K31" s="19">
        <v>-7005</v>
      </c>
      <c r="L31" s="19">
        <v>-7518</v>
      </c>
      <c r="M31" s="19">
        <v>-8123</v>
      </c>
      <c r="N31" s="19">
        <v>-9251</v>
      </c>
    </row>
    <row r="32" spans="2:14" x14ac:dyDescent="0.3">
      <c r="B32" t="s">
        <v>105</v>
      </c>
      <c r="C32" s="19">
        <v>-1020</v>
      </c>
      <c r="D32" s="19">
        <v>-1503</v>
      </c>
      <c r="E32" s="19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3">
      <c r="B33" t="s">
        <v>106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9">
        <v>-1346</v>
      </c>
      <c r="M33" s="19">
        <v>-1477</v>
      </c>
      <c r="N33" s="19">
        <v>-1559</v>
      </c>
    </row>
    <row r="34" spans="2:14" x14ac:dyDescent="0.3">
      <c r="B34" t="s">
        <v>107</v>
      </c>
      <c r="C34">
        <v>-399</v>
      </c>
      <c r="D34" s="19">
        <v>-1147</v>
      </c>
      <c r="E34" s="19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9">
        <v>3750</v>
      </c>
    </row>
    <row r="35" spans="2:14" x14ac:dyDescent="0.3">
      <c r="B35" s="12" t="s">
        <v>52</v>
      </c>
      <c r="C35" s="19">
        <v>2815</v>
      </c>
      <c r="D35" s="19">
        <v>5488</v>
      </c>
      <c r="E35" s="19">
        <v>-2499</v>
      </c>
      <c r="F35" s="19">
        <v>4277</v>
      </c>
      <c r="G35" s="19">
        <v>4500</v>
      </c>
      <c r="H35" s="19">
        <v>-2589</v>
      </c>
      <c r="I35" s="19">
        <v>-3167</v>
      </c>
      <c r="J35">
        <v>730</v>
      </c>
      <c r="K35" s="19">
        <v>6843</v>
      </c>
      <c r="L35" s="19">
        <v>-3092</v>
      </c>
      <c r="M35" s="19">
        <v>13232</v>
      </c>
      <c r="N35" s="19">
        <v>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70" activePane="bottomRight" state="frozen"/>
      <selection activeCell="C4" sqref="C4"/>
      <selection pane="topRight" activeCell="C4" sqref="C4"/>
      <selection pane="bottomLeft" activeCell="C4" sqref="C4"/>
      <selection pane="bottomRight" activeCell="B93" sqref="B93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74" t="str">
        <f>IF(B2&lt;&gt;B3, "A NEW VERSION OF THE WORKSHEET IS AVAILABLE", "")</f>
        <v/>
      </c>
      <c r="F1" s="74"/>
      <c r="G1" s="74"/>
      <c r="H1" s="74"/>
      <c r="I1" s="74"/>
      <c r="J1" s="74"/>
      <c r="K1" s="74"/>
    </row>
    <row r="2" spans="1:11" x14ac:dyDescent="0.25">
      <c r="A2" s="1" t="s">
        <v>2</v>
      </c>
      <c r="B2" s="2">
        <v>2.1</v>
      </c>
      <c r="E2" s="75" t="s">
        <v>3</v>
      </c>
      <c r="F2" s="75"/>
      <c r="G2" s="75"/>
      <c r="H2" s="75"/>
      <c r="I2" s="75"/>
      <c r="J2" s="75"/>
      <c r="K2" s="75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405.41142613878242</v>
      </c>
    </row>
    <row r="7" spans="1:11" x14ac:dyDescent="0.25">
      <c r="A7" s="2" t="s">
        <v>7</v>
      </c>
      <c r="B7" s="3">
        <v>5</v>
      </c>
    </row>
    <row r="8" spans="1:11" x14ac:dyDescent="0.25">
      <c r="A8" s="2" t="s">
        <v>8</v>
      </c>
      <c r="B8" s="3">
        <v>1174.5</v>
      </c>
    </row>
    <row r="9" spans="1:11" x14ac:dyDescent="0.25">
      <c r="A9" s="2" t="s">
        <v>9</v>
      </c>
      <c r="B9" s="3">
        <v>476155.72</v>
      </c>
    </row>
    <row r="15" spans="1:11" x14ac:dyDescent="0.25">
      <c r="A15" s="1" t="s">
        <v>10</v>
      </c>
      <c r="B15" s="2">
        <f>B26+B34</f>
        <v>23357</v>
      </c>
      <c r="K15" s="2">
        <f>K17-K18-K20-K21-K22-K23-K19</f>
        <v>43609</v>
      </c>
    </row>
    <row r="16" spans="1:11" s="6" customFormat="1" x14ac:dyDescent="0.25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5">
      <c r="A17" s="2" t="s">
        <v>12</v>
      </c>
      <c r="B17" s="3">
        <v>68484</v>
      </c>
      <c r="C17" s="3">
        <v>70522</v>
      </c>
      <c r="D17" s="3">
        <v>82675</v>
      </c>
      <c r="E17" s="3">
        <v>90791</v>
      </c>
      <c r="F17" s="3">
        <v>100472</v>
      </c>
      <c r="G17" s="3">
        <v>121641</v>
      </c>
      <c r="H17" s="3">
        <v>146767</v>
      </c>
      <c r="I17" s="3">
        <v>153670</v>
      </c>
      <c r="J17" s="3">
        <v>162990</v>
      </c>
      <c r="K17" s="3">
        <v>178650</v>
      </c>
    </row>
    <row r="18" spans="1:11" ht="14.4" x14ac:dyDescent="0.3">
      <c r="A18" s="2" t="s">
        <v>13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4" x14ac:dyDescent="0.3">
      <c r="A19" s="2" t="s">
        <v>14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2" t="s">
        <v>15</v>
      </c>
      <c r="B20" s="3">
        <v>228</v>
      </c>
      <c r="C20" s="3">
        <v>207</v>
      </c>
      <c r="D20" s="3">
        <v>221</v>
      </c>
      <c r="E20" s="3">
        <v>229</v>
      </c>
      <c r="F20" s="3">
        <v>143</v>
      </c>
      <c r="G20" s="3">
        <v>132</v>
      </c>
      <c r="H20" s="3">
        <v>176</v>
      </c>
      <c r="I20" s="3">
        <v>199</v>
      </c>
      <c r="J20" s="3">
        <v>222</v>
      </c>
      <c r="K20" s="3">
        <v>223</v>
      </c>
    </row>
    <row r="21" spans="1:11" x14ac:dyDescent="0.25">
      <c r="A21" s="2" t="s">
        <v>16</v>
      </c>
      <c r="B21" s="3">
        <v>6712</v>
      </c>
      <c r="C21" s="3">
        <v>7286</v>
      </c>
      <c r="D21" s="3">
        <v>9902</v>
      </c>
      <c r="E21" s="3">
        <v>11086</v>
      </c>
      <c r="F21" s="3">
        <v>12800</v>
      </c>
      <c r="G21" s="3">
        <v>20690</v>
      </c>
      <c r="H21" s="3">
        <v>26330</v>
      </c>
      <c r="I21" s="3">
        <v>27195</v>
      </c>
      <c r="J21" s="3">
        <v>30395</v>
      </c>
      <c r="K21" s="3">
        <v>32922</v>
      </c>
    </row>
    <row r="22" spans="1:11" x14ac:dyDescent="0.25">
      <c r="A22" s="2" t="s">
        <v>17</v>
      </c>
      <c r="B22" s="3">
        <v>37669</v>
      </c>
      <c r="C22" s="3">
        <v>38902</v>
      </c>
      <c r="D22" s="3">
        <v>45323</v>
      </c>
      <c r="E22" s="3">
        <v>50895</v>
      </c>
      <c r="F22" s="3">
        <v>55547</v>
      </c>
      <c r="G22" s="3">
        <v>63997</v>
      </c>
      <c r="H22" s="3">
        <v>78374</v>
      </c>
      <c r="I22" s="3">
        <v>82636</v>
      </c>
      <c r="J22" s="3">
        <v>85968</v>
      </c>
      <c r="K22" s="3">
        <v>95112</v>
      </c>
    </row>
    <row r="23" spans="1:11" x14ac:dyDescent="0.25">
      <c r="A23" s="2" t="s">
        <v>18</v>
      </c>
      <c r="B23" s="3">
        <v>4584</v>
      </c>
      <c r="C23" s="3">
        <v>4585</v>
      </c>
      <c r="D23" s="3">
        <v>5553</v>
      </c>
      <c r="E23" s="3">
        <v>5375</v>
      </c>
      <c r="F23" s="3">
        <v>3194</v>
      </c>
      <c r="G23" s="3">
        <v>4305</v>
      </c>
      <c r="H23" s="3">
        <v>5300</v>
      </c>
      <c r="I23" s="3">
        <v>5705</v>
      </c>
      <c r="J23" s="3">
        <v>6039</v>
      </c>
      <c r="K23" s="3">
        <v>6784</v>
      </c>
    </row>
    <row r="24" spans="1:11" x14ac:dyDescent="0.25">
      <c r="A24" s="2" t="s">
        <v>19</v>
      </c>
      <c r="B24" s="3">
        <v>687</v>
      </c>
      <c r="C24" s="3">
        <v>720</v>
      </c>
      <c r="D24" s="3">
        <v>1506</v>
      </c>
      <c r="E24" s="3">
        <v>939</v>
      </c>
      <c r="F24" s="3">
        <v>899</v>
      </c>
      <c r="G24" s="3">
        <v>1026</v>
      </c>
      <c r="H24" s="3">
        <v>1457</v>
      </c>
      <c r="I24" s="3">
        <v>1510</v>
      </c>
      <c r="J24" s="3">
        <v>1130</v>
      </c>
      <c r="K24" s="3">
        <v>1329</v>
      </c>
    </row>
    <row r="25" spans="1:11" x14ac:dyDescent="0.25">
      <c r="A25" s="2" t="s">
        <v>20</v>
      </c>
      <c r="B25" s="3">
        <v>3050</v>
      </c>
      <c r="C25" s="3">
        <v>3311</v>
      </c>
      <c r="D25" s="3">
        <v>2882</v>
      </c>
      <c r="E25" s="3">
        <v>2803</v>
      </c>
      <c r="F25" s="3">
        <v>2201</v>
      </c>
      <c r="G25" s="3">
        <v>2295</v>
      </c>
      <c r="H25" s="3">
        <v>2701</v>
      </c>
      <c r="I25" s="3">
        <v>4711</v>
      </c>
      <c r="J25" s="3">
        <v>3600</v>
      </c>
      <c r="K25" s="3">
        <v>3033</v>
      </c>
    </row>
    <row r="26" spans="1:11" x14ac:dyDescent="0.25">
      <c r="A26" s="2" t="s">
        <v>21</v>
      </c>
      <c r="B26" s="3">
        <v>1703</v>
      </c>
      <c r="C26" s="3">
        <v>1863</v>
      </c>
      <c r="D26" s="3">
        <v>2011</v>
      </c>
      <c r="E26" s="3">
        <v>2893</v>
      </c>
      <c r="F26" s="3">
        <v>3267</v>
      </c>
      <c r="G26" s="3">
        <v>3476</v>
      </c>
      <c r="H26" s="3">
        <v>4225</v>
      </c>
      <c r="I26" s="3">
        <v>4678</v>
      </c>
      <c r="J26" s="3">
        <v>4812</v>
      </c>
      <c r="K26" s="3">
        <v>4902</v>
      </c>
    </row>
    <row r="27" spans="1:11" ht="14.4" x14ac:dyDescent="0.3">
      <c r="A27" s="2" t="s">
        <v>22</v>
      </c>
      <c r="B27" s="3"/>
      <c r="C27" s="3"/>
      <c r="D27" s="3"/>
      <c r="E27" s="3">
        <v>170</v>
      </c>
      <c r="F27" s="3">
        <v>195</v>
      </c>
      <c r="G27" s="3">
        <v>200</v>
      </c>
      <c r="H27" s="3">
        <v>284</v>
      </c>
      <c r="I27" s="3">
        <v>470</v>
      </c>
      <c r="J27" s="7">
        <v>416</v>
      </c>
      <c r="K27" s="7">
        <v>416</v>
      </c>
    </row>
    <row r="28" spans="1:11" x14ac:dyDescent="0.25">
      <c r="A28" s="2" t="s">
        <v>23</v>
      </c>
      <c r="B28" s="3">
        <v>19951</v>
      </c>
      <c r="C28" s="3">
        <v>20270</v>
      </c>
      <c r="D28" s="3">
        <v>21041</v>
      </c>
      <c r="E28" s="3">
        <v>22007</v>
      </c>
      <c r="F28" s="3">
        <v>26628</v>
      </c>
      <c r="G28" s="3">
        <v>30110</v>
      </c>
      <c r="H28" s="3">
        <v>33322</v>
      </c>
      <c r="I28" s="3">
        <v>35988</v>
      </c>
      <c r="J28" s="3">
        <v>37608</v>
      </c>
      <c r="K28" s="3">
        <v>39995</v>
      </c>
    </row>
    <row r="29" spans="1:11" x14ac:dyDescent="0.25">
      <c r="A29" s="2" t="s">
        <v>24</v>
      </c>
      <c r="B29" s="3">
        <v>5598</v>
      </c>
      <c r="C29" s="3">
        <v>4241</v>
      </c>
      <c r="D29" s="3">
        <v>5631</v>
      </c>
      <c r="E29" s="3">
        <v>5368</v>
      </c>
      <c r="F29" s="3">
        <v>7205</v>
      </c>
      <c r="G29" s="3">
        <v>7964</v>
      </c>
      <c r="H29" s="3">
        <v>9214</v>
      </c>
      <c r="I29" s="3">
        <v>9740</v>
      </c>
      <c r="J29" s="3">
        <v>10858</v>
      </c>
      <c r="K29" s="3">
        <v>10521</v>
      </c>
    </row>
    <row r="30" spans="1:11" x14ac:dyDescent="0.25">
      <c r="A30" s="2" t="s">
        <v>25</v>
      </c>
      <c r="B30" s="3">
        <v>14353</v>
      </c>
      <c r="C30" s="3">
        <v>16029</v>
      </c>
      <c r="D30" s="3">
        <v>15404</v>
      </c>
      <c r="E30" s="3">
        <v>16594</v>
      </c>
      <c r="F30" s="3">
        <v>19351</v>
      </c>
      <c r="G30" s="3">
        <v>22110</v>
      </c>
      <c r="H30" s="3">
        <v>24095</v>
      </c>
      <c r="I30" s="3">
        <v>26233</v>
      </c>
      <c r="J30" s="3">
        <v>26713</v>
      </c>
      <c r="K30" s="3">
        <v>29440</v>
      </c>
    </row>
    <row r="31" spans="1:11" x14ac:dyDescent="0.25">
      <c r="A31" s="2" t="s">
        <v>26</v>
      </c>
      <c r="B31" s="3">
        <v>5891.6</v>
      </c>
      <c r="C31" s="3">
        <v>9465.6</v>
      </c>
      <c r="D31" s="3">
        <v>9222.5</v>
      </c>
      <c r="E31" s="3">
        <v>7427</v>
      </c>
      <c r="F31" s="3">
        <v>11469.6</v>
      </c>
      <c r="G31" s="3">
        <v>13007.6</v>
      </c>
      <c r="H31" s="3">
        <v>14069.2</v>
      </c>
      <c r="I31" s="3">
        <v>19053.2</v>
      </c>
      <c r="J31" s="3">
        <v>17827.8</v>
      </c>
      <c r="K31" s="3">
        <v>19430.400000000001</v>
      </c>
    </row>
    <row r="32" spans="1:11" x14ac:dyDescent="0.25">
      <c r="A32" s="2" t="s">
        <v>27</v>
      </c>
      <c r="B32" s="8">
        <f>B29/B28</f>
        <v>0.28058743922610396</v>
      </c>
      <c r="C32" s="8">
        <f t="shared" ref="C32:K32" si="0">C29/C28</f>
        <v>0.20922545633941786</v>
      </c>
      <c r="D32" s="8">
        <f t="shared" si="0"/>
        <v>0.26762036024903757</v>
      </c>
      <c r="E32" s="8">
        <f t="shared" si="0"/>
        <v>0.24392238833098559</v>
      </c>
      <c r="F32" s="8">
        <f t="shared" si="0"/>
        <v>0.27057984076911523</v>
      </c>
      <c r="G32" s="8">
        <f t="shared" si="0"/>
        <v>0.26449684490202591</v>
      </c>
      <c r="H32" s="8">
        <f t="shared" si="0"/>
        <v>0.27651401476502013</v>
      </c>
      <c r="I32" s="8">
        <f t="shared" si="0"/>
        <v>0.27064577081249308</v>
      </c>
      <c r="J32" s="8">
        <f t="shared" si="0"/>
        <v>0.28871516698574773</v>
      </c>
      <c r="K32" s="8">
        <f t="shared" si="0"/>
        <v>0.26305788223527943</v>
      </c>
    </row>
    <row r="34" spans="1:11" x14ac:dyDescent="0.25">
      <c r="A34" s="2" t="s">
        <v>28</v>
      </c>
      <c r="B34" s="2">
        <f>+B30+B29+B27+B26</f>
        <v>21654</v>
      </c>
      <c r="C34" s="2">
        <f t="shared" ref="C34:K34" si="1">+C30+C29+C27+C26</f>
        <v>22133</v>
      </c>
      <c r="D34" s="2">
        <f t="shared" si="1"/>
        <v>23046</v>
      </c>
      <c r="E34" s="2">
        <f t="shared" si="1"/>
        <v>25025</v>
      </c>
      <c r="F34" s="2">
        <f t="shared" si="1"/>
        <v>30018</v>
      </c>
      <c r="G34" s="2">
        <f t="shared" si="1"/>
        <v>33750</v>
      </c>
      <c r="H34" s="2">
        <f t="shared" si="1"/>
        <v>37818</v>
      </c>
      <c r="I34" s="2">
        <f t="shared" si="1"/>
        <v>41121</v>
      </c>
      <c r="J34" s="2">
        <f t="shared" si="1"/>
        <v>42799</v>
      </c>
      <c r="K34" s="2">
        <f t="shared" si="1"/>
        <v>45279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25">
      <c r="A42" s="2" t="s">
        <v>12</v>
      </c>
      <c r="B42" s="3">
        <v>38821</v>
      </c>
      <c r="C42" s="3">
        <v>37923</v>
      </c>
      <c r="D42" s="3">
        <v>39315</v>
      </c>
      <c r="E42" s="3">
        <v>40986</v>
      </c>
      <c r="F42" s="3">
        <v>41764</v>
      </c>
      <c r="G42" s="3">
        <v>40925</v>
      </c>
      <c r="H42" s="3">
        <v>42279</v>
      </c>
      <c r="I42" s="3">
        <v>44490</v>
      </c>
      <c r="J42" s="3">
        <v>45479</v>
      </c>
      <c r="K42" s="3">
        <v>46402</v>
      </c>
    </row>
    <row r="43" spans="1:11" x14ac:dyDescent="0.25">
      <c r="A43" s="2" t="s">
        <v>30</v>
      </c>
      <c r="B43" s="3">
        <v>29684</v>
      </c>
      <c r="C43" s="3">
        <v>29139</v>
      </c>
      <c r="D43" s="3">
        <v>29878</v>
      </c>
      <c r="E43" s="3">
        <v>31177</v>
      </c>
      <c r="F43" s="3">
        <v>31649</v>
      </c>
      <c r="G43" s="3">
        <v>31051</v>
      </c>
      <c r="H43" s="3">
        <v>32336</v>
      </c>
      <c r="I43" s="3">
        <v>33955</v>
      </c>
      <c r="J43" s="3">
        <v>34845</v>
      </c>
      <c r="K43" s="3">
        <v>35235</v>
      </c>
    </row>
    <row r="44" spans="1:11" x14ac:dyDescent="0.25">
      <c r="A44" s="2" t="s">
        <v>20</v>
      </c>
      <c r="B44" s="3">
        <v>789</v>
      </c>
      <c r="C44" s="3">
        <v>2729</v>
      </c>
      <c r="D44" s="3">
        <v>838</v>
      </c>
      <c r="E44" s="3">
        <v>712</v>
      </c>
      <c r="F44" s="3">
        <v>859</v>
      </c>
      <c r="G44" s="3">
        <v>1190</v>
      </c>
      <c r="H44" s="3">
        <v>1042</v>
      </c>
      <c r="I44" s="3">
        <v>982</v>
      </c>
      <c r="J44" s="3">
        <v>-150</v>
      </c>
      <c r="K44" s="3">
        <v>1159</v>
      </c>
    </row>
    <row r="45" spans="1:11" x14ac:dyDescent="0.25">
      <c r="A45" s="2" t="s">
        <v>21</v>
      </c>
      <c r="B45" s="3">
        <v>1176</v>
      </c>
      <c r="C45" s="3">
        <v>1163</v>
      </c>
      <c r="D45" s="3">
        <v>1149</v>
      </c>
      <c r="E45" s="3">
        <v>1160</v>
      </c>
      <c r="F45" s="3">
        <v>1203</v>
      </c>
      <c r="G45" s="3">
        <v>1299</v>
      </c>
      <c r="H45" s="3">
        <v>1140</v>
      </c>
      <c r="I45" s="3">
        <v>1182</v>
      </c>
      <c r="J45" s="3">
        <v>1155</v>
      </c>
      <c r="K45" s="3">
        <v>1424</v>
      </c>
    </row>
    <row r="46" spans="1:11" ht="14.4" x14ac:dyDescent="0.3">
      <c r="A46" s="2" t="s">
        <v>22</v>
      </c>
      <c r="B46" s="7">
        <v>131</v>
      </c>
      <c r="C46" s="7">
        <v>110</v>
      </c>
      <c r="D46" s="7">
        <v>105</v>
      </c>
      <c r="E46" s="7">
        <v>108</v>
      </c>
      <c r="F46" s="7">
        <v>101</v>
      </c>
      <c r="G46" s="7">
        <v>102</v>
      </c>
      <c r="H46" s="7">
        <v>105</v>
      </c>
      <c r="I46" s="7">
        <v>106</v>
      </c>
      <c r="J46" s="7">
        <v>100</v>
      </c>
      <c r="K46" s="7">
        <v>105</v>
      </c>
    </row>
    <row r="47" spans="1:11" x14ac:dyDescent="0.25">
      <c r="A47" s="2" t="s">
        <v>23</v>
      </c>
      <c r="B47" s="3">
        <v>8619</v>
      </c>
      <c r="C47" s="3">
        <v>10240</v>
      </c>
      <c r="D47" s="3">
        <v>9021</v>
      </c>
      <c r="E47" s="3">
        <v>9253</v>
      </c>
      <c r="F47" s="3">
        <v>9670</v>
      </c>
      <c r="G47" s="3">
        <v>9663</v>
      </c>
      <c r="H47" s="3">
        <v>9740</v>
      </c>
      <c r="I47" s="3">
        <v>10229</v>
      </c>
      <c r="J47" s="3">
        <v>9229</v>
      </c>
      <c r="K47" s="3">
        <v>10797</v>
      </c>
    </row>
    <row r="48" spans="1:11" x14ac:dyDescent="0.25">
      <c r="A48" s="2" t="s">
        <v>24</v>
      </c>
      <c r="B48" s="3">
        <v>2506</v>
      </c>
      <c r="C48" s="3">
        <v>2265</v>
      </c>
      <c r="D48" s="3">
        <v>2647</v>
      </c>
      <c r="E48" s="3">
        <v>2737</v>
      </c>
      <c r="F48" s="3">
        <v>2848</v>
      </c>
      <c r="G48" s="3">
        <v>2625</v>
      </c>
      <c r="H48" s="3">
        <v>2816</v>
      </c>
      <c r="I48" s="3">
        <v>2854</v>
      </c>
      <c r="J48" s="3">
        <v>2563</v>
      </c>
      <c r="K48" s="3">
        <v>2288</v>
      </c>
    </row>
    <row r="49" spans="1:11" x14ac:dyDescent="0.25">
      <c r="A49" s="2" t="s">
        <v>25</v>
      </c>
      <c r="B49" s="3">
        <v>6106</v>
      </c>
      <c r="C49" s="3">
        <v>7969</v>
      </c>
      <c r="D49" s="3">
        <v>6368</v>
      </c>
      <c r="E49" s="3">
        <v>6506</v>
      </c>
      <c r="F49" s="3">
        <v>6806</v>
      </c>
      <c r="G49" s="3">
        <v>7033</v>
      </c>
      <c r="H49" s="3">
        <v>6921</v>
      </c>
      <c r="I49" s="3">
        <v>7364</v>
      </c>
      <c r="J49" s="3">
        <v>6654</v>
      </c>
      <c r="K49" s="3">
        <v>8501</v>
      </c>
    </row>
    <row r="50" spans="1:11" x14ac:dyDescent="0.25">
      <c r="A50" s="2" t="s">
        <v>31</v>
      </c>
      <c r="B50" s="3">
        <v>9137</v>
      </c>
      <c r="C50" s="3">
        <v>8784</v>
      </c>
      <c r="D50" s="3">
        <v>9437</v>
      </c>
      <c r="E50" s="3">
        <v>9809</v>
      </c>
      <c r="F50" s="3">
        <v>10115</v>
      </c>
      <c r="G50" s="3">
        <v>9874</v>
      </c>
      <c r="H50" s="3">
        <v>9943</v>
      </c>
      <c r="I50" s="3">
        <v>10535</v>
      </c>
      <c r="J50" s="3">
        <v>10634</v>
      </c>
      <c r="K50" s="3">
        <v>11167</v>
      </c>
    </row>
    <row r="51" spans="1:11" x14ac:dyDescent="0.25">
      <c r="A51" s="2" t="s">
        <v>28</v>
      </c>
      <c r="B51" s="2">
        <f>B49+B48+B46+B45</f>
        <v>9919</v>
      </c>
      <c r="C51" s="2">
        <f t="shared" ref="C51:K51" si="2">C49+C48+C46+C45</f>
        <v>11507</v>
      </c>
      <c r="D51" s="2">
        <f t="shared" si="2"/>
        <v>10269</v>
      </c>
      <c r="E51" s="2">
        <f t="shared" si="2"/>
        <v>10511</v>
      </c>
      <c r="F51" s="2">
        <f t="shared" si="2"/>
        <v>10958</v>
      </c>
      <c r="G51" s="2">
        <f t="shared" si="2"/>
        <v>11059</v>
      </c>
      <c r="H51" s="2">
        <f t="shared" si="2"/>
        <v>10982</v>
      </c>
      <c r="I51" s="2">
        <f t="shared" si="2"/>
        <v>11506</v>
      </c>
      <c r="J51" s="2">
        <f t="shared" si="2"/>
        <v>10472</v>
      </c>
      <c r="K51" s="2">
        <f t="shared" si="2"/>
        <v>12318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2" t="s">
        <v>33</v>
      </c>
      <c r="B57" s="3">
        <v>1144</v>
      </c>
      <c r="C57" s="3">
        <v>1088</v>
      </c>
      <c r="D57" s="3">
        <v>2170</v>
      </c>
      <c r="E57" s="3">
        <v>2122</v>
      </c>
      <c r="F57" s="3">
        <v>2124</v>
      </c>
      <c r="G57" s="3">
        <v>2098</v>
      </c>
      <c r="H57" s="3">
        <v>2069</v>
      </c>
      <c r="I57" s="3">
        <v>2071</v>
      </c>
      <c r="J57" s="3">
        <v>2073</v>
      </c>
      <c r="K57" s="3">
        <v>2024</v>
      </c>
    </row>
    <row r="58" spans="1:11" x14ac:dyDescent="0.25">
      <c r="A58" s="2" t="s">
        <v>34</v>
      </c>
      <c r="B58" s="3">
        <v>67838</v>
      </c>
      <c r="C58" s="3">
        <v>63835</v>
      </c>
      <c r="D58" s="3">
        <v>62778</v>
      </c>
      <c r="E58" s="3">
        <v>63328</v>
      </c>
      <c r="F58" s="3">
        <v>74227</v>
      </c>
      <c r="G58" s="3">
        <v>73252</v>
      </c>
      <c r="H58" s="3">
        <v>73338</v>
      </c>
      <c r="I58" s="3">
        <v>86045</v>
      </c>
      <c r="J58" s="3">
        <v>93745</v>
      </c>
      <c r="K58" s="3">
        <v>90828</v>
      </c>
    </row>
    <row r="59" spans="1:11" ht="14.4" x14ac:dyDescent="0.3">
      <c r="A59" s="2" t="s">
        <v>35</v>
      </c>
      <c r="B59" s="7"/>
      <c r="C59" s="7"/>
      <c r="D59" s="7"/>
      <c r="E59" s="7">
        <v>4633</v>
      </c>
      <c r="F59" s="7">
        <v>5325</v>
      </c>
      <c r="G59" s="7">
        <v>5474</v>
      </c>
      <c r="H59" s="7">
        <v>8299</v>
      </c>
      <c r="I59" s="7">
        <v>8359</v>
      </c>
      <c r="J59" s="7">
        <v>8227</v>
      </c>
      <c r="K59" s="7">
        <v>9176</v>
      </c>
    </row>
    <row r="60" spans="1:11" x14ac:dyDescent="0.25">
      <c r="A60" s="2" t="s">
        <v>36</v>
      </c>
      <c r="B60" s="3">
        <v>14166</v>
      </c>
      <c r="C60" s="3">
        <v>14426</v>
      </c>
      <c r="D60" s="3">
        <v>19118</v>
      </c>
      <c r="E60" s="3">
        <v>21717</v>
      </c>
      <c r="F60" s="3">
        <v>25835</v>
      </c>
      <c r="G60" s="3">
        <v>35905</v>
      </c>
      <c r="H60" s="3">
        <v>40890</v>
      </c>
      <c r="I60" s="3">
        <v>40885</v>
      </c>
      <c r="J60" s="3">
        <v>43750</v>
      </c>
      <c r="K60" s="3">
        <v>52260</v>
      </c>
    </row>
    <row r="61" spans="1:11" s="1" customFormat="1" x14ac:dyDescent="0.25">
      <c r="A61" s="1" t="s">
        <v>37</v>
      </c>
      <c r="B61" s="3">
        <v>83148</v>
      </c>
      <c r="C61" s="3">
        <v>79349</v>
      </c>
      <c r="D61" s="3">
        <v>84066</v>
      </c>
      <c r="E61" s="3">
        <v>91800</v>
      </c>
      <c r="F61" s="3">
        <v>107511</v>
      </c>
      <c r="G61" s="3">
        <v>116729</v>
      </c>
      <c r="H61" s="3">
        <v>124596</v>
      </c>
      <c r="I61" s="3">
        <v>137360</v>
      </c>
      <c r="J61" s="3">
        <v>147795</v>
      </c>
      <c r="K61" s="3">
        <v>154288</v>
      </c>
    </row>
    <row r="62" spans="1:11" x14ac:dyDescent="0.25">
      <c r="A62" s="2" t="s">
        <v>38</v>
      </c>
      <c r="B62" s="3">
        <v>14179</v>
      </c>
      <c r="C62" s="3">
        <v>12574</v>
      </c>
      <c r="D62" s="3">
        <v>15710</v>
      </c>
      <c r="E62" s="3">
        <v>23789</v>
      </c>
      <c r="F62" s="3">
        <v>25505</v>
      </c>
      <c r="G62" s="3">
        <v>25800</v>
      </c>
      <c r="H62" s="3">
        <v>29225</v>
      </c>
      <c r="I62" s="3">
        <v>27622</v>
      </c>
      <c r="J62" s="3">
        <v>30961</v>
      </c>
      <c r="K62" s="3">
        <v>33770</v>
      </c>
    </row>
    <row r="63" spans="1:11" x14ac:dyDescent="0.25">
      <c r="A63" s="2" t="s">
        <v>39</v>
      </c>
      <c r="B63" s="3">
        <v>1365</v>
      </c>
      <c r="C63" s="3">
        <v>1606</v>
      </c>
      <c r="D63" s="3">
        <v>1388</v>
      </c>
      <c r="E63" s="3">
        <v>954</v>
      </c>
      <c r="F63" s="3">
        <v>922</v>
      </c>
      <c r="G63" s="3">
        <v>416</v>
      </c>
      <c r="H63" s="3">
        <v>288</v>
      </c>
      <c r="I63" s="3">
        <v>293</v>
      </c>
      <c r="J63" s="3">
        <v>814</v>
      </c>
      <c r="K63" s="3">
        <v>526</v>
      </c>
    </row>
    <row r="64" spans="1:11" ht="14.4" x14ac:dyDescent="0.3">
      <c r="A64" s="2" t="s">
        <v>40</v>
      </c>
      <c r="B64" s="3">
        <v>16423</v>
      </c>
      <c r="C64" s="7">
        <v>12163</v>
      </c>
      <c r="D64" s="3">
        <v>11261</v>
      </c>
      <c r="E64" s="3">
        <v>8792</v>
      </c>
      <c r="F64" s="3">
        <v>14205</v>
      </c>
      <c r="G64" s="3">
        <v>20324</v>
      </c>
      <c r="H64" s="3">
        <v>19478</v>
      </c>
      <c r="I64" s="3">
        <v>24623</v>
      </c>
      <c r="J64" s="3">
        <v>23541</v>
      </c>
      <c r="K64" s="3">
        <v>21880</v>
      </c>
    </row>
    <row r="65" spans="1:11" x14ac:dyDescent="0.25">
      <c r="A65" s="2" t="s">
        <v>41</v>
      </c>
      <c r="B65" s="3">
        <v>51181</v>
      </c>
      <c r="C65" s="3">
        <v>53006</v>
      </c>
      <c r="D65" s="3">
        <v>55707</v>
      </c>
      <c r="E65" s="3">
        <v>58265</v>
      </c>
      <c r="F65" s="3">
        <v>66879</v>
      </c>
      <c r="G65" s="3">
        <v>70189</v>
      </c>
      <c r="H65" s="3">
        <v>75605</v>
      </c>
      <c r="I65" s="3">
        <v>84822</v>
      </c>
      <c r="J65" s="3">
        <v>92479</v>
      </c>
      <c r="K65" s="3">
        <v>98112</v>
      </c>
    </row>
    <row r="66" spans="1:11" s="1" customFormat="1" x14ac:dyDescent="0.25">
      <c r="A66" s="1" t="s">
        <v>37</v>
      </c>
      <c r="B66" s="3">
        <v>83148</v>
      </c>
      <c r="C66" s="3">
        <v>79349</v>
      </c>
      <c r="D66" s="3">
        <v>84066</v>
      </c>
      <c r="E66" s="3">
        <v>91800</v>
      </c>
      <c r="F66" s="3">
        <v>107511</v>
      </c>
      <c r="G66" s="3">
        <v>116729</v>
      </c>
      <c r="H66" s="3">
        <v>124596</v>
      </c>
      <c r="I66" s="3">
        <v>137360</v>
      </c>
      <c r="J66" s="3">
        <v>147795</v>
      </c>
      <c r="K66" s="3">
        <v>154288</v>
      </c>
    </row>
    <row r="67" spans="1:11" x14ac:dyDescent="0.25">
      <c r="A67" s="2" t="s">
        <v>42</v>
      </c>
      <c r="B67" s="3">
        <v>12322</v>
      </c>
      <c r="C67" s="3">
        <v>13142</v>
      </c>
      <c r="D67" s="3">
        <v>14827</v>
      </c>
      <c r="E67" s="3">
        <v>18487</v>
      </c>
      <c r="F67" s="3">
        <v>19294</v>
      </c>
      <c r="G67" s="3">
        <v>22698</v>
      </c>
      <c r="H67" s="3">
        <v>25424</v>
      </c>
      <c r="I67" s="3">
        <v>30193</v>
      </c>
      <c r="J67" s="3">
        <v>31158</v>
      </c>
      <c r="K67" s="3">
        <v>35234</v>
      </c>
    </row>
    <row r="68" spans="1:11" ht="14.4" x14ac:dyDescent="0.3">
      <c r="A68" s="2" t="s">
        <v>43</v>
      </c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2" t="s">
        <v>44</v>
      </c>
      <c r="B69" s="3">
        <v>22625</v>
      </c>
      <c r="C69" s="3">
        <v>19818</v>
      </c>
      <c r="D69" s="3">
        <v>19568</v>
      </c>
      <c r="E69" s="3">
        <v>18649</v>
      </c>
      <c r="F69" s="3">
        <v>24714</v>
      </c>
      <c r="G69" s="3">
        <v>17472</v>
      </c>
      <c r="H69" s="3">
        <v>12173</v>
      </c>
      <c r="I69" s="3">
        <v>14786</v>
      </c>
      <c r="J69" s="3">
        <v>24455</v>
      </c>
      <c r="K69" s="3">
        <v>22201</v>
      </c>
    </row>
    <row r="70" spans="1:11" x14ac:dyDescent="0.25">
      <c r="A70" s="2" t="s">
        <v>45</v>
      </c>
      <c r="B70" s="3">
        <v>2285655150</v>
      </c>
      <c r="C70" s="3">
        <v>2173312301</v>
      </c>
      <c r="D70" s="3">
        <v>4335954462</v>
      </c>
      <c r="E70" s="3">
        <v>4240753210</v>
      </c>
      <c r="F70" s="3">
        <v>4245146114</v>
      </c>
      <c r="G70" s="3">
        <v>4193012929</v>
      </c>
      <c r="H70" s="3">
        <v>4136387925</v>
      </c>
      <c r="I70" s="3">
        <v>4139950635</v>
      </c>
      <c r="J70" s="3">
        <v>4143607528</v>
      </c>
      <c r="K70" s="3">
        <v>4046940812</v>
      </c>
    </row>
    <row r="71" spans="1:11" ht="14.4" x14ac:dyDescent="0.3">
      <c r="A71" s="2" t="s">
        <v>46</v>
      </c>
      <c r="B71" s="9"/>
      <c r="C71" s="9"/>
      <c r="D71">
        <v>2184191490</v>
      </c>
      <c r="G71" s="9"/>
      <c r="H71" s="9"/>
    </row>
    <row r="72" spans="1:11" x14ac:dyDescent="0.25">
      <c r="A72" s="2" t="s">
        <v>47</v>
      </c>
      <c r="B72" s="3">
        <v>5</v>
      </c>
      <c r="C72" s="3">
        <v>5</v>
      </c>
      <c r="D72" s="3">
        <v>5</v>
      </c>
      <c r="E72" s="3">
        <v>5</v>
      </c>
      <c r="F72" s="3">
        <v>5</v>
      </c>
      <c r="G72" s="3">
        <v>5</v>
      </c>
      <c r="H72" s="3">
        <v>5</v>
      </c>
      <c r="I72" s="3">
        <v>5</v>
      </c>
      <c r="J72" s="3">
        <v>5</v>
      </c>
      <c r="K72" s="3">
        <v>5</v>
      </c>
    </row>
    <row r="73" spans="1:11" x14ac:dyDescent="0.25">
      <c r="H73" s="2">
        <f>H62-G62+H45</f>
        <v>4565</v>
      </c>
      <c r="I73" s="2">
        <f t="shared" ref="I73:K73" si="3">I62-H62+I45</f>
        <v>-421</v>
      </c>
      <c r="J73" s="2">
        <f t="shared" si="3"/>
        <v>4494</v>
      </c>
      <c r="K73" s="2">
        <f t="shared" si="3"/>
        <v>4233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5">
      <c r="A82" s="2" t="s">
        <v>49</v>
      </c>
      <c r="B82" s="3">
        <v>11531</v>
      </c>
      <c r="C82" s="3">
        <v>13218</v>
      </c>
      <c r="D82" s="3">
        <v>14841</v>
      </c>
      <c r="E82" s="3">
        <v>17003</v>
      </c>
      <c r="F82" s="3">
        <v>23224</v>
      </c>
      <c r="G82" s="3">
        <v>23885</v>
      </c>
      <c r="H82" s="3">
        <v>22467</v>
      </c>
      <c r="I82" s="3">
        <v>25210</v>
      </c>
      <c r="J82" s="3">
        <v>35694</v>
      </c>
      <c r="K82" s="3">
        <v>33986</v>
      </c>
    </row>
    <row r="83" spans="1:12" x14ac:dyDescent="0.25">
      <c r="A83" s="2" t="s">
        <v>50</v>
      </c>
      <c r="B83" s="3">
        <v>-14664</v>
      </c>
      <c r="C83" s="3">
        <v>4533</v>
      </c>
      <c r="D83" s="3">
        <v>-632</v>
      </c>
      <c r="E83" s="3">
        <v>-331</v>
      </c>
      <c r="F83" s="3">
        <v>-7373</v>
      </c>
      <c r="G83" s="3">
        <v>-6485</v>
      </c>
      <c r="H83" s="3">
        <v>-1071</v>
      </c>
      <c r="I83" s="3">
        <v>-5093</v>
      </c>
      <c r="J83" s="3">
        <v>-1864</v>
      </c>
      <c r="K83" s="3">
        <v>3546</v>
      </c>
    </row>
    <row r="84" spans="1:12" x14ac:dyDescent="0.25">
      <c r="A84" s="2" t="s">
        <v>51</v>
      </c>
      <c r="B84" s="3">
        <v>-6939</v>
      </c>
      <c r="C84" s="3">
        <v>-20505</v>
      </c>
      <c r="D84" s="3">
        <v>-14512</v>
      </c>
      <c r="E84" s="3">
        <v>-17591</v>
      </c>
      <c r="F84" s="3">
        <v>-9786</v>
      </c>
      <c r="G84" s="3">
        <v>-24642</v>
      </c>
      <c r="H84" s="3">
        <v>-26695</v>
      </c>
      <c r="I84" s="3">
        <v>-17504</v>
      </c>
      <c r="J84" s="3">
        <v>-24161</v>
      </c>
      <c r="K84" s="3">
        <v>-39786</v>
      </c>
    </row>
    <row r="85" spans="1:12" s="1" customFormat="1" x14ac:dyDescent="0.25">
      <c r="A85" s="2" t="s">
        <v>52</v>
      </c>
      <c r="B85" s="3">
        <v>-10072</v>
      </c>
      <c r="C85" s="3">
        <v>-2754</v>
      </c>
      <c r="D85" s="3">
        <v>-303</v>
      </c>
      <c r="E85" s="3">
        <v>-919</v>
      </c>
      <c r="F85" s="3">
        <v>6065</v>
      </c>
      <c r="G85" s="3">
        <v>-7242</v>
      </c>
      <c r="H85" s="3">
        <v>-5299</v>
      </c>
      <c r="I85" s="3">
        <v>2613</v>
      </c>
      <c r="J85" s="3">
        <v>9669</v>
      </c>
      <c r="K85" s="3">
        <v>-2254</v>
      </c>
    </row>
    <row r="90" spans="1:12" s="1" customFormat="1" x14ac:dyDescent="0.25">
      <c r="A90" s="1" t="s">
        <v>53</v>
      </c>
      <c r="B90" s="3">
        <v>511.13</v>
      </c>
      <c r="C90" s="3">
        <v>565.9</v>
      </c>
      <c r="D90" s="3">
        <v>743.85</v>
      </c>
      <c r="E90" s="3">
        <v>641.5</v>
      </c>
      <c r="F90" s="3">
        <v>1368.05</v>
      </c>
      <c r="G90" s="3">
        <v>1906.85</v>
      </c>
      <c r="H90" s="3">
        <v>1427.95</v>
      </c>
      <c r="I90" s="3">
        <v>1498.05</v>
      </c>
      <c r="J90" s="3">
        <v>1570.65</v>
      </c>
      <c r="K90" s="3">
        <v>1250.5999999999999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459.39</v>
      </c>
      <c r="C93" s="10">
        <v>436.82</v>
      </c>
      <c r="D93" s="10">
        <v>436.89</v>
      </c>
      <c r="E93" s="10">
        <v>425.9</v>
      </c>
      <c r="F93" s="10">
        <v>426.07</v>
      </c>
      <c r="G93" s="10">
        <v>420.67</v>
      </c>
      <c r="H93" s="10">
        <v>414.86</v>
      </c>
      <c r="I93" s="10">
        <v>415.09</v>
      </c>
      <c r="J93" s="10">
        <v>415.33</v>
      </c>
      <c r="K93" s="10">
        <v>405.56</v>
      </c>
    </row>
  </sheetData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B1:J19"/>
  <sheetViews>
    <sheetView showGridLines="0" workbookViewId="0">
      <selection activeCell="F18" sqref="F18"/>
    </sheetView>
  </sheetViews>
  <sheetFormatPr defaultRowHeight="14.4" x14ac:dyDescent="0.3"/>
  <cols>
    <col min="1" max="1" width="1.88671875" customWidth="1"/>
    <col min="6" max="6" width="12.6640625" bestFit="1" customWidth="1"/>
  </cols>
  <sheetData>
    <row r="1" spans="2:10" ht="21" x14ac:dyDescent="0.4">
      <c r="B1" s="72" t="s">
        <v>125</v>
      </c>
      <c r="C1" s="72"/>
      <c r="D1" s="72"/>
      <c r="E1" s="72"/>
      <c r="F1" s="72"/>
      <c r="G1" s="72"/>
      <c r="H1" s="72"/>
      <c r="I1" s="72"/>
      <c r="J1" s="72"/>
    </row>
    <row r="2" spans="2:10" x14ac:dyDescent="0.3">
      <c r="B2" s="37" t="s">
        <v>126</v>
      </c>
      <c r="C2" s="29"/>
      <c r="D2" s="29"/>
      <c r="E2" s="29"/>
      <c r="F2" s="36">
        <v>0.11</v>
      </c>
      <c r="G2" s="78" t="s">
        <v>194</v>
      </c>
      <c r="H2" s="29"/>
      <c r="I2" s="29"/>
      <c r="J2" s="29"/>
    </row>
    <row r="3" spans="2:10" x14ac:dyDescent="0.3">
      <c r="B3" s="38" t="s">
        <v>127</v>
      </c>
      <c r="C3" s="29"/>
      <c r="D3" s="29"/>
      <c r="E3" s="29"/>
      <c r="F3" s="36">
        <v>0.05</v>
      </c>
      <c r="G3" s="78" t="s">
        <v>193</v>
      </c>
      <c r="H3" s="29"/>
      <c r="I3" s="29"/>
      <c r="J3" s="29"/>
    </row>
    <row r="4" spans="2:10" x14ac:dyDescent="0.3">
      <c r="B4" s="38" t="s">
        <v>128</v>
      </c>
      <c r="C4" s="29"/>
      <c r="D4" s="29"/>
      <c r="E4" s="29"/>
      <c r="F4" s="36" t="s">
        <v>142</v>
      </c>
      <c r="G4" s="29"/>
      <c r="H4" s="29"/>
      <c r="I4" s="29"/>
      <c r="J4" s="29"/>
    </row>
    <row r="5" spans="2:10" x14ac:dyDescent="0.3">
      <c r="B5" s="38" t="s">
        <v>129</v>
      </c>
      <c r="F5" s="34">
        <v>0.11</v>
      </c>
    </row>
    <row r="6" spans="2:10" x14ac:dyDescent="0.3">
      <c r="B6" s="38" t="s">
        <v>130</v>
      </c>
      <c r="F6" s="34">
        <v>0.1</v>
      </c>
    </row>
    <row r="7" spans="2:10" x14ac:dyDescent="0.3">
      <c r="B7" s="38" t="s">
        <v>131</v>
      </c>
      <c r="F7" s="34">
        <v>0.09</v>
      </c>
    </row>
    <row r="8" spans="2:10" x14ac:dyDescent="0.3">
      <c r="B8" s="38" t="s">
        <v>132</v>
      </c>
      <c r="F8" s="34">
        <v>0.08</v>
      </c>
    </row>
    <row r="9" spans="2:10" x14ac:dyDescent="0.3">
      <c r="B9" s="38" t="s">
        <v>133</v>
      </c>
      <c r="F9" s="34">
        <v>7.0000000000000007E-2</v>
      </c>
    </row>
    <row r="10" spans="2:10" x14ac:dyDescent="0.3">
      <c r="B10" s="38" t="s">
        <v>134</v>
      </c>
      <c r="F10" s="34">
        <v>0.28000000000000003</v>
      </c>
    </row>
    <row r="11" spans="2:10" x14ac:dyDescent="0.3">
      <c r="B11" s="38" t="s">
        <v>135</v>
      </c>
      <c r="F11" s="34">
        <v>0.28499999999999998</v>
      </c>
    </row>
    <row r="12" spans="2:10" x14ac:dyDescent="0.3">
      <c r="B12" s="38" t="s">
        <v>136</v>
      </c>
      <c r="F12" s="34">
        <v>0.28999999999999998</v>
      </c>
    </row>
    <row r="13" spans="2:10" x14ac:dyDescent="0.3">
      <c r="B13" s="38" t="s">
        <v>137</v>
      </c>
      <c r="F13" s="34">
        <v>0.29499999999999998</v>
      </c>
    </row>
    <row r="14" spans="2:10" x14ac:dyDescent="0.3">
      <c r="B14" s="38" t="s">
        <v>138</v>
      </c>
      <c r="F14" s="34">
        <v>0.3</v>
      </c>
    </row>
    <row r="15" spans="2:10" x14ac:dyDescent="0.3">
      <c r="B15" s="38" t="s">
        <v>139</v>
      </c>
      <c r="F15" s="34">
        <v>2.9000000000000001E-2</v>
      </c>
      <c r="G15" s="78" t="s">
        <v>192</v>
      </c>
    </row>
    <row r="16" spans="2:10" x14ac:dyDescent="0.3">
      <c r="B16" s="38" t="s">
        <v>140</v>
      </c>
      <c r="F16" s="34">
        <v>0.02</v>
      </c>
    </row>
    <row r="17" spans="2:7" x14ac:dyDescent="0.3">
      <c r="B17" s="38" t="s">
        <v>179</v>
      </c>
      <c r="F17" s="34">
        <v>0.01</v>
      </c>
    </row>
    <row r="18" spans="2:7" x14ac:dyDescent="0.3">
      <c r="B18" s="38" t="s">
        <v>27</v>
      </c>
      <c r="F18" s="34">
        <v>0.3</v>
      </c>
      <c r="G18" s="78" t="s">
        <v>192</v>
      </c>
    </row>
    <row r="19" spans="2:7" x14ac:dyDescent="0.3">
      <c r="B19" s="38" t="s">
        <v>141</v>
      </c>
      <c r="F19" s="39">
        <v>-13025</v>
      </c>
      <c r="G19" s="78" t="s">
        <v>191</v>
      </c>
    </row>
  </sheetData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8F3-5D26-42BA-AC66-3E90239D4DD2}">
  <sheetPr>
    <tabColor theme="4" tint="0.39997558519241921"/>
  </sheetPr>
  <dimension ref="A1:Y31"/>
  <sheetViews>
    <sheetView showGridLines="0" tabSelected="1" zoomScale="7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9" sqref="R19"/>
    </sheetView>
  </sheetViews>
  <sheetFormatPr defaultRowHeight="14.4" x14ac:dyDescent="0.3"/>
  <cols>
    <col min="1" max="1" width="1.88671875" customWidth="1"/>
    <col min="2" max="2" width="43.6640625" bestFit="1" customWidth="1"/>
    <col min="3" max="3" width="16.21875" bestFit="1" customWidth="1"/>
    <col min="4" max="8" width="15.44140625" bestFit="1" customWidth="1"/>
    <col min="9" max="9" width="1.88671875" customWidth="1"/>
    <col min="16" max="16" width="1.88671875" customWidth="1"/>
    <col min="17" max="17" width="34.6640625" bestFit="1" customWidth="1"/>
    <col min="18" max="18" width="12.77734375" bestFit="1" customWidth="1"/>
  </cols>
  <sheetData>
    <row r="1" spans="1:25" ht="21" x14ac:dyDescent="0.4">
      <c r="B1" s="72" t="s">
        <v>143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Q1" s="72" t="s">
        <v>125</v>
      </c>
      <c r="R1" s="72"/>
      <c r="S1" s="72"/>
      <c r="T1" s="72"/>
      <c r="U1" s="72"/>
      <c r="V1" s="72"/>
      <c r="W1" s="72"/>
      <c r="X1" s="72"/>
      <c r="Y1" s="72"/>
    </row>
    <row r="2" spans="1:25" ht="17.399999999999999" x14ac:dyDescent="0.3">
      <c r="A2" t="s">
        <v>59</v>
      </c>
      <c r="B2" s="41" t="s">
        <v>144</v>
      </c>
      <c r="C2" s="46" t="s">
        <v>150</v>
      </c>
      <c r="D2" s="46" t="s">
        <v>145</v>
      </c>
      <c r="E2" s="46" t="s">
        <v>146</v>
      </c>
      <c r="F2" s="46" t="s">
        <v>147</v>
      </c>
      <c r="G2" s="46" t="s">
        <v>148</v>
      </c>
      <c r="H2" s="46" t="s">
        <v>149</v>
      </c>
    </row>
    <row r="3" spans="1:25" ht="18" x14ac:dyDescent="0.35">
      <c r="B3" s="47" t="s">
        <v>151</v>
      </c>
      <c r="C3" s="48">
        <f>'Financials&gt;'!L5</f>
        <v>178650</v>
      </c>
      <c r="D3" s="49">
        <f>C3*(1+R6)</f>
        <v>198301.50000000003</v>
      </c>
      <c r="E3" s="49">
        <f>D3*(1+R7)</f>
        <v>218131.65000000005</v>
      </c>
      <c r="F3" s="49">
        <f>E3*(1+R8)</f>
        <v>237763.49850000007</v>
      </c>
      <c r="G3" s="49">
        <f>F3*(1+R9)</f>
        <v>256784.57838000011</v>
      </c>
      <c r="H3" s="49">
        <f>G3*(1+R10)</f>
        <v>274759.49886660016</v>
      </c>
      <c r="P3" t="s">
        <v>59</v>
      </c>
      <c r="Q3" s="58" t="s">
        <v>126</v>
      </c>
      <c r="R3" s="59">
        <f>ASSUMPTIONS!F2</f>
        <v>0.11</v>
      </c>
    </row>
    <row r="4" spans="1:25" ht="18" x14ac:dyDescent="0.35">
      <c r="B4" s="47" t="s">
        <v>152</v>
      </c>
      <c r="C4" s="50">
        <f>'Financials&gt;'!L6</f>
        <v>9.6079514080618544E-2</v>
      </c>
      <c r="D4" s="50">
        <f>R6</f>
        <v>0.11</v>
      </c>
      <c r="E4" s="50">
        <f>R7</f>
        <v>0.1</v>
      </c>
      <c r="F4" s="50">
        <f>R8</f>
        <v>0.09</v>
      </c>
      <c r="G4" s="50">
        <f>R9</f>
        <v>0.08</v>
      </c>
      <c r="H4" s="50">
        <f>R10</f>
        <v>7.0000000000000007E-2</v>
      </c>
      <c r="Q4" s="60" t="s">
        <v>127</v>
      </c>
      <c r="R4" s="59">
        <f>ASSUMPTIONS!F3</f>
        <v>0.05</v>
      </c>
    </row>
    <row r="5" spans="1:25" ht="18" x14ac:dyDescent="0.35">
      <c r="B5" s="47" t="s">
        <v>153</v>
      </c>
      <c r="C5" s="48">
        <f>'Financials&gt;'!L17</f>
        <v>42280</v>
      </c>
      <c r="D5" s="49">
        <f>D3*D6</f>
        <v>55524.420000000013</v>
      </c>
      <c r="E5" s="49">
        <f>E3*E6</f>
        <v>62167.520250000009</v>
      </c>
      <c r="F5" s="49">
        <f>F3*F6</f>
        <v>68951.414565000014</v>
      </c>
      <c r="G5" s="49">
        <f t="shared" ref="G5:H5" si="0">G3*G6</f>
        <v>75751.450622100034</v>
      </c>
      <c r="H5" s="49">
        <f t="shared" si="0"/>
        <v>82427.849659980042</v>
      </c>
      <c r="Q5" s="60" t="s">
        <v>128</v>
      </c>
      <c r="R5" s="59" t="str">
        <f>ASSUMPTIONS!F4</f>
        <v>5 years</v>
      </c>
    </row>
    <row r="6" spans="1:25" ht="18" x14ac:dyDescent="0.35">
      <c r="B6" s="47" t="s">
        <v>154</v>
      </c>
      <c r="C6" s="50">
        <f>'Financials&gt;'!L18</f>
        <v>0.23666386789812482</v>
      </c>
      <c r="D6" s="50">
        <f>R11</f>
        <v>0.28000000000000003</v>
      </c>
      <c r="E6" s="50">
        <f>R12</f>
        <v>0.28499999999999998</v>
      </c>
      <c r="F6" s="50">
        <f>R13</f>
        <v>0.28999999999999998</v>
      </c>
      <c r="G6" s="50">
        <f>R14</f>
        <v>0.29499999999999998</v>
      </c>
      <c r="H6" s="50">
        <f>R15</f>
        <v>0.3</v>
      </c>
      <c r="Q6" s="60" t="s">
        <v>129</v>
      </c>
      <c r="R6" s="59">
        <f>ASSUMPTIONS!F5</f>
        <v>0.11</v>
      </c>
    </row>
    <row r="7" spans="1:25" ht="18" x14ac:dyDescent="0.35">
      <c r="B7" s="47" t="s">
        <v>155</v>
      </c>
      <c r="C7" s="48">
        <f>'Financials&gt;'!L23</f>
        <v>4902</v>
      </c>
      <c r="D7" s="49">
        <f>$R$16*D3</f>
        <v>5750.7435000000014</v>
      </c>
      <c r="E7" s="49">
        <f>$R$16*E3</f>
        <v>6325.8178500000022</v>
      </c>
      <c r="F7" s="49">
        <f>$R$16*F3</f>
        <v>6895.1414565000023</v>
      </c>
      <c r="G7" s="49">
        <f>$R$16*G3</f>
        <v>7446.7527730200036</v>
      </c>
      <c r="H7" s="49">
        <f>$R$16*H3</f>
        <v>7968.0254671314051</v>
      </c>
      <c r="Q7" s="60" t="s">
        <v>130</v>
      </c>
      <c r="R7" s="59">
        <f>ASSUMPTIONS!F6</f>
        <v>0.1</v>
      </c>
    </row>
    <row r="8" spans="1:25" ht="18" x14ac:dyDescent="0.35">
      <c r="B8" s="47" t="s">
        <v>156</v>
      </c>
      <c r="C8" s="48">
        <f>'DCF VALUATION'!C5-'DCF VALUATION'!C7</f>
        <v>37378</v>
      </c>
      <c r="D8" s="49">
        <f>D5-D7</f>
        <v>49773.676500000009</v>
      </c>
      <c r="E8" s="49">
        <f t="shared" ref="E8:H8" si="1">E5-E7</f>
        <v>55841.702400000009</v>
      </c>
      <c r="F8" s="49">
        <f t="shared" si="1"/>
        <v>62056.273108500012</v>
      </c>
      <c r="G8" s="49">
        <f t="shared" si="1"/>
        <v>68304.697849080025</v>
      </c>
      <c r="H8" s="49">
        <f t="shared" si="1"/>
        <v>74459.824192848639</v>
      </c>
      <c r="Q8" s="60" t="s">
        <v>131</v>
      </c>
      <c r="R8" s="59">
        <f>ASSUMPTIONS!F7</f>
        <v>0.09</v>
      </c>
    </row>
    <row r="9" spans="1:25" ht="18" x14ac:dyDescent="0.35">
      <c r="B9" s="47" t="s">
        <v>157</v>
      </c>
      <c r="C9" s="48">
        <f>C8*(1-R19)</f>
        <v>26164.6</v>
      </c>
      <c r="D9" s="49">
        <f>D8*(1-$R$19)</f>
        <v>34841.573550000001</v>
      </c>
      <c r="E9" s="49">
        <f t="shared" ref="E9:H9" si="2">E8*(1-$R$19)</f>
        <v>39089.191680000004</v>
      </c>
      <c r="F9" s="49">
        <f t="shared" si="2"/>
        <v>43439.391175950004</v>
      </c>
      <c r="G9" s="49">
        <f t="shared" si="2"/>
        <v>47813.288494356013</v>
      </c>
      <c r="H9" s="49">
        <f t="shared" si="2"/>
        <v>52121.876934994041</v>
      </c>
      <c r="Q9" s="60" t="s">
        <v>132</v>
      </c>
      <c r="R9" s="59">
        <f>ASSUMPTIONS!F8</f>
        <v>0.08</v>
      </c>
    </row>
    <row r="10" spans="1:25" ht="18" x14ac:dyDescent="0.35">
      <c r="B10" s="47" t="s">
        <v>158</v>
      </c>
      <c r="C10" s="48">
        <f>'Financials&gt;'!L23</f>
        <v>4902</v>
      </c>
      <c r="D10" s="49">
        <f>D7</f>
        <v>5750.7435000000014</v>
      </c>
      <c r="E10" s="49">
        <f t="shared" ref="E10:I10" si="3">E7</f>
        <v>6325.8178500000022</v>
      </c>
      <c r="F10" s="49">
        <f t="shared" si="3"/>
        <v>6895.1414565000023</v>
      </c>
      <c r="G10" s="49">
        <f t="shared" si="3"/>
        <v>7446.7527730200036</v>
      </c>
      <c r="H10" s="49">
        <f t="shared" si="3"/>
        <v>7968.0254671314051</v>
      </c>
      <c r="I10" s="40">
        <f t="shared" si="3"/>
        <v>0</v>
      </c>
      <c r="Q10" s="60" t="s">
        <v>133</v>
      </c>
      <c r="R10" s="59">
        <f>ASSUMPTIONS!F9</f>
        <v>7.0000000000000007E-2</v>
      </c>
    </row>
    <row r="11" spans="1:25" ht="18" x14ac:dyDescent="0.35">
      <c r="B11" s="47" t="s">
        <v>159</v>
      </c>
      <c r="C11" s="48">
        <f>2%*C3</f>
        <v>3573</v>
      </c>
      <c r="D11" s="49">
        <f>$R$17*D3</f>
        <v>3966.0300000000007</v>
      </c>
      <c r="E11" s="49">
        <f t="shared" ref="E11:H11" si="4">$R$17*E3</f>
        <v>4362.6330000000007</v>
      </c>
      <c r="F11" s="49">
        <f t="shared" si="4"/>
        <v>4755.2699700000012</v>
      </c>
      <c r="G11" s="49">
        <f t="shared" si="4"/>
        <v>5135.6915676000026</v>
      </c>
      <c r="H11" s="49">
        <f t="shared" si="4"/>
        <v>5495.1899773320029</v>
      </c>
      <c r="Q11" s="60" t="s">
        <v>134</v>
      </c>
      <c r="R11" s="59">
        <f>ASSUMPTIONS!F10</f>
        <v>0.28000000000000003</v>
      </c>
    </row>
    <row r="12" spans="1:25" ht="18" x14ac:dyDescent="0.35">
      <c r="B12" s="47" t="s">
        <v>160</v>
      </c>
      <c r="C12" s="48">
        <f>$R$18*C3</f>
        <v>1786.5</v>
      </c>
      <c r="D12" s="48">
        <f t="shared" ref="D12:H12" si="5">$R$18*D3</f>
        <v>1983.0150000000003</v>
      </c>
      <c r="E12" s="48">
        <f t="shared" si="5"/>
        <v>2181.3165000000004</v>
      </c>
      <c r="F12" s="48">
        <f t="shared" si="5"/>
        <v>2377.6349850000006</v>
      </c>
      <c r="G12" s="48">
        <f t="shared" si="5"/>
        <v>2567.8457838000013</v>
      </c>
      <c r="H12" s="48">
        <f t="shared" si="5"/>
        <v>2747.5949886660014</v>
      </c>
      <c r="Q12" s="60" t="s">
        <v>135</v>
      </c>
      <c r="R12" s="59">
        <f>ASSUMPTIONS!F11</f>
        <v>0.28499999999999998</v>
      </c>
    </row>
    <row r="13" spans="1:25" ht="18" x14ac:dyDescent="0.35">
      <c r="B13" s="51" t="s">
        <v>161</v>
      </c>
      <c r="C13" s="52">
        <f>C9+C10-C11-C12</f>
        <v>25707.1</v>
      </c>
      <c r="D13" s="52">
        <f>D9+D10-D11-D12</f>
        <v>34643.272050000007</v>
      </c>
      <c r="E13" s="52">
        <f t="shared" ref="E13:H13" si="6">E9+E10-E11-E12</f>
        <v>38871.060030000001</v>
      </c>
      <c r="F13" s="52">
        <f t="shared" si="6"/>
        <v>43201.62767745</v>
      </c>
      <c r="G13" s="52">
        <f t="shared" si="6"/>
        <v>47556.503915976005</v>
      </c>
      <c r="H13" s="52">
        <f t="shared" si="6"/>
        <v>51847.117436127439</v>
      </c>
      <c r="Q13" s="60" t="s">
        <v>136</v>
      </c>
      <c r="R13" s="59">
        <f>ASSUMPTIONS!F12</f>
        <v>0.28999999999999998</v>
      </c>
    </row>
    <row r="14" spans="1:25" ht="18" x14ac:dyDescent="0.35">
      <c r="Q14" s="60" t="s">
        <v>137</v>
      </c>
      <c r="R14" s="59">
        <f>ASSUMPTIONS!F13</f>
        <v>0.29499999999999998</v>
      </c>
    </row>
    <row r="15" spans="1:25" ht="21" x14ac:dyDescent="0.4">
      <c r="A15" t="s">
        <v>59</v>
      </c>
      <c r="B15" s="72" t="s">
        <v>168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Q15" s="60" t="s">
        <v>138</v>
      </c>
      <c r="R15" s="59">
        <f>ASSUMPTIONS!F14</f>
        <v>0.3</v>
      </c>
    </row>
    <row r="16" spans="1:25" ht="18" x14ac:dyDescent="0.35">
      <c r="B16" s="42" t="s">
        <v>162</v>
      </c>
      <c r="C16" s="62">
        <f>(1/(1+$R$3)^0)</f>
        <v>1</v>
      </c>
      <c r="D16" s="44">
        <f>(1/(1+$R$3)^1)</f>
        <v>0.9009009009009008</v>
      </c>
      <c r="E16" s="44">
        <f>(1/(1+$R$3)^2)</f>
        <v>0.8116224332440547</v>
      </c>
      <c r="F16" s="44">
        <f>(1/(1+$R$3)^3)</f>
        <v>0.73119138130095018</v>
      </c>
      <c r="G16" s="44">
        <f>(1/(1+$R$3)^4)</f>
        <v>0.65873097414500015</v>
      </c>
      <c r="H16" s="44">
        <f>(1/(1+$R$3)^5)</f>
        <v>0.5934513280585586</v>
      </c>
      <c r="Q16" s="60" t="s">
        <v>139</v>
      </c>
      <c r="R16" s="59">
        <f>ASSUMPTIONS!F15</f>
        <v>2.9000000000000001E-2</v>
      </c>
    </row>
    <row r="17" spans="1:18" ht="18" x14ac:dyDescent="0.35">
      <c r="B17" s="42" t="s">
        <v>163</v>
      </c>
      <c r="C17" s="62">
        <f>C13*C16</f>
        <v>25707.1</v>
      </c>
      <c r="D17" s="43">
        <f t="shared" ref="D17:H17" si="7">D13*D16</f>
        <v>31210.155000000002</v>
      </c>
      <c r="E17" s="43">
        <f t="shared" si="7"/>
        <v>31548.624324324319</v>
      </c>
      <c r="F17" s="43">
        <f t="shared" si="7"/>
        <v>31588.657815924027</v>
      </c>
      <c r="G17" s="43">
        <f t="shared" si="7"/>
        <v>31326.942151501389</v>
      </c>
      <c r="H17" s="43">
        <f t="shared" si="7"/>
        <v>30768.740698477879</v>
      </c>
      <c r="Q17" s="60" t="s">
        <v>140</v>
      </c>
      <c r="R17" s="59">
        <f>ASSUMPTIONS!F16</f>
        <v>0.02</v>
      </c>
    </row>
    <row r="18" spans="1:18" ht="18" x14ac:dyDescent="0.35">
      <c r="B18" s="42" t="s">
        <v>164</v>
      </c>
      <c r="C18" s="43">
        <f>SUM(D17:H17)</f>
        <v>156443.11999022763</v>
      </c>
      <c r="D18" s="42"/>
      <c r="E18" s="42"/>
      <c r="F18" s="42"/>
      <c r="G18" s="42"/>
      <c r="H18" s="42"/>
      <c r="Q18" s="60" t="s">
        <v>178</v>
      </c>
      <c r="R18" s="59">
        <f>ASSUMPTIONS!F17</f>
        <v>0.01</v>
      </c>
    </row>
    <row r="19" spans="1:18" ht="18" x14ac:dyDescent="0.35">
      <c r="B19" s="42" t="s">
        <v>165</v>
      </c>
      <c r="C19" s="43">
        <f>H13*(1+R4)</f>
        <v>54439.473307933811</v>
      </c>
      <c r="D19" s="42"/>
      <c r="E19" s="42"/>
      <c r="F19" s="42"/>
      <c r="G19" s="42"/>
      <c r="H19" s="42"/>
      <c r="Q19" s="60" t="s">
        <v>27</v>
      </c>
      <c r="R19" s="59">
        <f>ASSUMPTIONS!F18</f>
        <v>0.3</v>
      </c>
    </row>
    <row r="20" spans="1:18" ht="18" x14ac:dyDescent="0.35">
      <c r="B20" s="42" t="s">
        <v>166</v>
      </c>
      <c r="C20" s="43">
        <f>C19/(R3-R4)</f>
        <v>907324.55513223016</v>
      </c>
      <c r="D20" s="62"/>
      <c r="E20" s="42"/>
      <c r="F20" s="42"/>
      <c r="G20" s="42"/>
      <c r="H20" s="42"/>
      <c r="Q20" s="60" t="s">
        <v>141</v>
      </c>
      <c r="R20" s="61">
        <f>ASSUMPTIONS!F19</f>
        <v>-13025</v>
      </c>
    </row>
    <row r="21" spans="1:18" ht="18" x14ac:dyDescent="0.35">
      <c r="B21" s="42" t="s">
        <v>167</v>
      </c>
      <c r="C21" s="43">
        <f>C20/(1+R3)^5</f>
        <v>538452.96222336288</v>
      </c>
      <c r="D21" s="42"/>
      <c r="E21" s="42"/>
      <c r="F21" s="42"/>
      <c r="G21" s="42"/>
      <c r="H21" s="42"/>
    </row>
    <row r="23" spans="1:18" ht="21" x14ac:dyDescent="0.4">
      <c r="A23" t="s">
        <v>59</v>
      </c>
      <c r="B23" s="72" t="s">
        <v>169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</row>
    <row r="24" spans="1:18" ht="18" x14ac:dyDescent="0.35">
      <c r="B24" s="51" t="s">
        <v>170</v>
      </c>
      <c r="C24" s="54">
        <f>C21+C18</f>
        <v>694896.0822135905</v>
      </c>
    </row>
    <row r="25" spans="1:18" ht="18" x14ac:dyDescent="0.35">
      <c r="B25" s="47" t="s">
        <v>171</v>
      </c>
      <c r="C25" s="48">
        <f>R20</f>
        <v>-13025</v>
      </c>
    </row>
    <row r="26" spans="1:18" ht="18" x14ac:dyDescent="0.35">
      <c r="B26" s="51" t="s">
        <v>172</v>
      </c>
      <c r="C26" s="52">
        <f>C24-C25</f>
        <v>707921.0822135905</v>
      </c>
    </row>
    <row r="27" spans="1:18" ht="18" x14ac:dyDescent="0.35">
      <c r="B27" s="47" t="s">
        <v>173</v>
      </c>
      <c r="C27" s="48">
        <f>'Data Sheet'!B6</f>
        <v>405.41142613878242</v>
      </c>
    </row>
    <row r="28" spans="1:18" s="45" customFormat="1" ht="23.4" x14ac:dyDescent="0.45">
      <c r="B28" s="55" t="s">
        <v>177</v>
      </c>
      <c r="C28" s="56">
        <f>C26/C27</f>
        <v>1746.1794033680035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8" ht="18" x14ac:dyDescent="0.35">
      <c r="B29" s="47" t="s">
        <v>174</v>
      </c>
      <c r="C29" s="48">
        <f>'Data Sheet'!B8</f>
        <v>1174.5</v>
      </c>
    </row>
    <row r="30" spans="1:18" ht="18" x14ac:dyDescent="0.35">
      <c r="B30" s="47" t="s">
        <v>175</v>
      </c>
      <c r="C30" s="57">
        <f>(C28-C29)/C29</f>
        <v>0.48674278703108004</v>
      </c>
    </row>
    <row r="31" spans="1:18" ht="18" x14ac:dyDescent="0.35">
      <c r="B31" s="47" t="s">
        <v>176</v>
      </c>
      <c r="C31" s="57">
        <f>C21/C24</f>
        <v>0.77486832348819945</v>
      </c>
    </row>
  </sheetData>
  <mergeCells count="4">
    <mergeCell ref="B1:N1"/>
    <mergeCell ref="Q1:Y1"/>
    <mergeCell ref="B15:N15"/>
    <mergeCell ref="B23:N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995C-ED03-4D64-80F1-C9F53F03AEDF}">
  <dimension ref="B2:J21"/>
  <sheetViews>
    <sheetView showGridLines="0" zoomScale="84" workbookViewId="0">
      <selection activeCell="M15" sqref="M15"/>
    </sheetView>
  </sheetViews>
  <sheetFormatPr defaultRowHeight="14.4" x14ac:dyDescent="0.3"/>
  <cols>
    <col min="1" max="1" width="1.88671875" customWidth="1"/>
    <col min="2" max="2" width="23.88671875" bestFit="1" customWidth="1"/>
    <col min="4" max="4" width="9.77734375" bestFit="1" customWidth="1"/>
    <col min="5" max="5" width="9.6640625" bestFit="1" customWidth="1"/>
    <col min="6" max="7" width="9.77734375" bestFit="1" customWidth="1"/>
    <col min="8" max="9" width="9.6640625" bestFit="1" customWidth="1"/>
  </cols>
  <sheetData>
    <row r="2" spans="2:10" ht="18" x14ac:dyDescent="0.35">
      <c r="B2" s="76" t="s">
        <v>180</v>
      </c>
      <c r="C2" s="76"/>
      <c r="D2" s="76"/>
      <c r="E2" s="76"/>
      <c r="F2" s="76"/>
      <c r="G2" s="76"/>
      <c r="H2" s="76"/>
      <c r="I2" s="76"/>
      <c r="J2" s="76"/>
    </row>
    <row r="4" spans="2:10" x14ac:dyDescent="0.3">
      <c r="B4" s="77" t="s">
        <v>189</v>
      </c>
      <c r="C4" s="77"/>
      <c r="D4" s="77"/>
      <c r="E4" s="77"/>
      <c r="F4" s="77"/>
      <c r="G4" s="77"/>
      <c r="H4" s="77"/>
      <c r="I4" s="77"/>
      <c r="J4" s="77"/>
    </row>
    <row r="5" spans="2:10" ht="18" x14ac:dyDescent="0.35">
      <c r="B5" s="64" t="s">
        <v>181</v>
      </c>
      <c r="C5" s="65"/>
      <c r="D5" s="66">
        <v>9.5000000000000001E-2</v>
      </c>
      <c r="E5" s="66">
        <v>0.105</v>
      </c>
      <c r="F5" s="66">
        <v>0.11</v>
      </c>
      <c r="G5" s="66">
        <v>0.115</v>
      </c>
      <c r="H5" s="66">
        <v>0.125</v>
      </c>
      <c r="I5" s="66">
        <v>0.13500000000000001</v>
      </c>
    </row>
    <row r="6" spans="2:10" ht="18" x14ac:dyDescent="0.35">
      <c r="B6" s="64" t="s">
        <v>182</v>
      </c>
      <c r="C6" s="65"/>
      <c r="D6" s="67">
        <v>1721.43</v>
      </c>
      <c r="E6" s="67">
        <v>1489.36</v>
      </c>
      <c r="F6" s="67">
        <v>1395.16</v>
      </c>
      <c r="G6" s="67">
        <v>1312.1</v>
      </c>
      <c r="H6" s="67">
        <v>1172.33</v>
      </c>
      <c r="I6" s="67">
        <v>1059.3399999999999</v>
      </c>
    </row>
    <row r="7" spans="2:10" ht="18" x14ac:dyDescent="0.35">
      <c r="B7" s="64" t="s">
        <v>183</v>
      </c>
      <c r="C7" s="65"/>
      <c r="D7" s="67">
        <v>1835.48</v>
      </c>
      <c r="E7" s="67">
        <v>1571.06</v>
      </c>
      <c r="F7" s="67">
        <v>1465.37</v>
      </c>
      <c r="G7" s="67">
        <v>1372.94</v>
      </c>
      <c r="H7" s="67">
        <v>1219.02</v>
      </c>
      <c r="I7" s="67">
        <v>1096.04</v>
      </c>
    </row>
    <row r="8" spans="2:10" ht="18" x14ac:dyDescent="0.35">
      <c r="B8" s="64" t="s">
        <v>184</v>
      </c>
      <c r="C8" s="65"/>
      <c r="D8" s="67">
        <v>1970.26</v>
      </c>
      <c r="E8" s="67">
        <v>1665.32</v>
      </c>
      <c r="F8" s="67">
        <v>1545.6</v>
      </c>
      <c r="G8" s="67">
        <v>1441.89</v>
      </c>
      <c r="H8" s="67">
        <v>1271.21</v>
      </c>
      <c r="I8" s="67">
        <v>1136.5999999999999</v>
      </c>
    </row>
    <row r="9" spans="2:10" ht="18" x14ac:dyDescent="0.35">
      <c r="B9" s="64" t="s">
        <v>185</v>
      </c>
      <c r="C9" s="65"/>
      <c r="D9" s="67">
        <v>2132</v>
      </c>
      <c r="E9" s="67">
        <v>1775.29</v>
      </c>
      <c r="F9" s="67">
        <v>1638.17</v>
      </c>
      <c r="G9" s="67">
        <v>1520.7</v>
      </c>
      <c r="H9" s="67">
        <v>1329.91</v>
      </c>
      <c r="I9" s="67">
        <v>1181.67</v>
      </c>
    </row>
    <row r="10" spans="2:10" ht="18" x14ac:dyDescent="0.35">
      <c r="B10" s="64" t="s">
        <v>186</v>
      </c>
      <c r="C10" s="65"/>
      <c r="D10" s="67">
        <v>2329.6799999999998</v>
      </c>
      <c r="E10" s="67">
        <v>1905.26</v>
      </c>
      <c r="F10" s="68">
        <v>1746.18</v>
      </c>
      <c r="G10" s="67">
        <v>1611.62</v>
      </c>
      <c r="H10" s="67">
        <v>1396.45</v>
      </c>
      <c r="I10" s="67">
        <v>1232.03</v>
      </c>
    </row>
    <row r="11" spans="2:10" ht="18" x14ac:dyDescent="0.35">
      <c r="B11" s="64" t="s">
        <v>187</v>
      </c>
      <c r="C11" s="65"/>
      <c r="D11" s="67">
        <v>2576.77</v>
      </c>
      <c r="E11" s="67">
        <v>2061.2199999999998</v>
      </c>
      <c r="F11" s="67">
        <v>1873.82</v>
      </c>
      <c r="G11" s="67">
        <v>1717.7</v>
      </c>
      <c r="H11" s="67">
        <v>1472.48</v>
      </c>
      <c r="I11" s="67">
        <v>1288.7</v>
      </c>
    </row>
    <row r="12" spans="2:10" ht="18" x14ac:dyDescent="0.35">
      <c r="B12" s="64" t="s">
        <v>188</v>
      </c>
      <c r="C12" s="65"/>
      <c r="D12" s="67">
        <v>2894.47</v>
      </c>
      <c r="E12" s="67">
        <v>2251.84</v>
      </c>
      <c r="F12" s="67">
        <v>2026.99</v>
      </c>
      <c r="G12" s="67">
        <v>1843.07</v>
      </c>
      <c r="H12" s="67">
        <v>1560.22</v>
      </c>
      <c r="I12" s="67">
        <v>1352.92</v>
      </c>
    </row>
    <row r="14" spans="2:10" x14ac:dyDescent="0.3">
      <c r="B14" s="70"/>
      <c r="C14" s="70"/>
      <c r="D14" s="70"/>
      <c r="E14" s="70"/>
      <c r="F14" s="70"/>
      <c r="G14" s="69"/>
      <c r="H14" s="69"/>
      <c r="I14" s="69"/>
      <c r="J14" s="69"/>
    </row>
    <row r="15" spans="2:10" x14ac:dyDescent="0.3">
      <c r="B15" s="63"/>
    </row>
    <row r="16" spans="2:10" x14ac:dyDescent="0.3">
      <c r="B16" s="63"/>
    </row>
    <row r="17" spans="2:2" x14ac:dyDescent="0.3">
      <c r="B17" s="63"/>
    </row>
    <row r="18" spans="2:2" x14ac:dyDescent="0.3">
      <c r="B18" s="63"/>
    </row>
    <row r="19" spans="2:2" x14ac:dyDescent="0.3">
      <c r="B19" s="63"/>
    </row>
    <row r="20" spans="2:2" x14ac:dyDescent="0.3">
      <c r="B20" s="63"/>
    </row>
    <row r="21" spans="2:2" x14ac:dyDescent="0.3">
      <c r="B21" s="63"/>
    </row>
  </sheetData>
  <mergeCells count="2">
    <mergeCell ref="B2:J2"/>
    <mergeCell ref="B4:J4"/>
  </mergeCells>
  <conditionalFormatting sqref="D6:I12">
    <cfRule type="colorScale" priority="1">
      <colorScale>
        <cfvo type="num" val="&quot;&lt;$F$10&quot;"/>
        <cfvo type="num" val="$F$10"/>
        <cfvo type="num" val="&quot;&gt;$F$10&quot;"/>
        <color rgb="FFF8696B"/>
        <color rgb="FFFFEB84"/>
        <color rgb="FF63BE7B"/>
      </colorScale>
    </cfRule>
    <cfRule type="colorScale" priority="2">
      <colorScale>
        <cfvo type="num" val="&quot;&lt;$F$10&quot;"/>
        <cfvo type="num" val="$F$10"/>
        <cfvo type="num" val="&quot;&gt;$F$10&quot;"/>
        <color rgb="FFF8696B"/>
        <color rgb="FFFFFF66"/>
        <color rgb="FF63BE7B"/>
      </colorScale>
    </cfRule>
    <cfRule type="expression" dxfId="0" priority="3">
      <formula>"Green&gt;$F$10&gt;RED"</formula>
    </cfRule>
    <cfRule type="expression" priority="4">
      <formula>"green&gt;1746.16&gt;red"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Financials&gt;</vt:lpstr>
      <vt:lpstr>Cash Flow Data</vt:lpstr>
      <vt:lpstr>Data Sheet</vt:lpstr>
      <vt:lpstr>ASSUMPTIONS</vt:lpstr>
      <vt:lpstr>DCF VALUATION</vt:lpstr>
      <vt:lpstr>SENSITIVITY ANALYSIS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Atharv Khedekar</cp:lastModifiedBy>
  <dcterms:created xsi:type="dcterms:W3CDTF">2023-01-14T08:22:33Z</dcterms:created>
  <dcterms:modified xsi:type="dcterms:W3CDTF">2026-05-24T09:11:42Z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